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KHUSUS MANAJEMEN RISIKO\2. TABEL MANAJEMEN RISIKO\2026\MANAJEMEN RISIKO\"/>
    </mc:Choice>
  </mc:AlternateContent>
  <xr:revisionPtr revIDLastSave="0" documentId="13_ncr:1_{DBA296C3-E5B7-457E-B38F-4847EDB34573}" xr6:coauthVersionLast="47" xr6:coauthVersionMax="47" xr10:uidLastSave="{00000000-0000-0000-0000-000000000000}"/>
  <bookViews>
    <workbookView xWindow="75" yWindow="0" windowWidth="20415" windowHeight="10920" firstSheet="7" activeTab="8" xr2:uid="{00000000-000D-0000-FFFF-FFFF00000000}"/>
  </bookViews>
  <sheets>
    <sheet name="NEW Peta Risiko" sheetId="19" r:id="rId1"/>
    <sheet name="Kriteria Kemungkinan" sheetId="2" r:id="rId2"/>
    <sheet name="NEW Kriteria Dampak" sheetId="18" r:id="rId3"/>
    <sheet name="Identifikasi Risiko" sheetId="6" r:id="rId4"/>
    <sheet name="Analisis &amp; Evaluasi Risiko" sheetId="13" r:id="rId5"/>
    <sheet name="Perlakuan Risiko" sheetId="8" r:id="rId6"/>
    <sheet name="Pemantauan TW1" sheetId="17" r:id="rId7"/>
    <sheet name="Pemantauan TW2" sheetId="20" r:id="rId8"/>
    <sheet name="Pemantauan TW 3" sheetId="21" r:id="rId9"/>
    <sheet name="Pelaporan Insidental" sheetId="14" r:id="rId10"/>
  </sheets>
  <definedNames>
    <definedName name="_xlnm._FilterDatabase" localSheetId="4" hidden="1">'Analisis &amp; Evaluasi Risiko'!$E$52:$E$52</definedName>
    <definedName name="_xlnm.Print_Area" localSheetId="0">'NEW Peta Risiko'!#REF!</definedName>
    <definedName name="_xlnm.Print_Area" localSheetId="8">'Pemantauan TW 3'!$A$7:$T$9</definedName>
    <definedName name="_xlnm.Print_Area" localSheetId="6">'Pemantauan TW1'!$A$7:$T$9</definedName>
    <definedName name="_xlnm.Print_Area" localSheetId="7">'Pemantauan TW2'!$A$7:$T$9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" i="21" l="1"/>
  <c r="S49" i="21" s="1"/>
  <c r="M49" i="21"/>
  <c r="I49" i="21"/>
  <c r="Q47" i="21"/>
  <c r="S47" i="21" s="1"/>
  <c r="M47" i="21"/>
  <c r="I47" i="21"/>
  <c r="Q44" i="21"/>
  <c r="S44" i="21" s="1"/>
  <c r="M44" i="21"/>
  <c r="I44" i="21"/>
  <c r="Q42" i="21"/>
  <c r="S42" i="21" s="1"/>
  <c r="M42" i="21"/>
  <c r="I42" i="21"/>
  <c r="Q38" i="21"/>
  <c r="S38" i="21" s="1"/>
  <c r="M38" i="21"/>
  <c r="I38" i="21"/>
  <c r="Q36" i="21"/>
  <c r="S36" i="21" s="1"/>
  <c r="M36" i="21"/>
  <c r="I36" i="21"/>
  <c r="Q32" i="21"/>
  <c r="S32" i="21" s="1"/>
  <c r="M32" i="21"/>
  <c r="I32" i="21"/>
  <c r="Q29" i="21"/>
  <c r="S29" i="21" s="1"/>
  <c r="M29" i="21"/>
  <c r="I29" i="21"/>
  <c r="Q26" i="21"/>
  <c r="S26" i="21" s="1"/>
  <c r="M26" i="21"/>
  <c r="I26" i="21"/>
  <c r="Q24" i="21"/>
  <c r="S24" i="21" s="1"/>
  <c r="M24" i="21"/>
  <c r="I24" i="21"/>
  <c r="Q20" i="21"/>
  <c r="S20" i="21" s="1"/>
  <c r="M20" i="21"/>
  <c r="I20" i="21"/>
  <c r="Q17" i="21"/>
  <c r="S17" i="21" s="1"/>
  <c r="M17" i="21"/>
  <c r="I17" i="21"/>
  <c r="Q10" i="21"/>
  <c r="M10" i="21"/>
  <c r="I10" i="21"/>
  <c r="M32" i="20"/>
  <c r="M29" i="20"/>
  <c r="M17" i="20"/>
  <c r="M47" i="20"/>
  <c r="M44" i="20"/>
  <c r="M42" i="20"/>
  <c r="S10" i="21" l="1"/>
  <c r="Q49" i="20"/>
  <c r="S49" i="20" s="1"/>
  <c r="M49" i="20"/>
  <c r="I49" i="20"/>
  <c r="Q47" i="20"/>
  <c r="S47" i="20" s="1"/>
  <c r="I47" i="20"/>
  <c r="Q44" i="20"/>
  <c r="S44" i="20" s="1"/>
  <c r="I44" i="20"/>
  <c r="Q42" i="20"/>
  <c r="S42" i="20" s="1"/>
  <c r="I42" i="20"/>
  <c r="Q38" i="20"/>
  <c r="M38" i="20"/>
  <c r="S38" i="20" s="1"/>
  <c r="I38" i="20"/>
  <c r="Q36" i="20"/>
  <c r="M36" i="20"/>
  <c r="I36" i="20"/>
  <c r="Q32" i="20"/>
  <c r="S32" i="20" s="1"/>
  <c r="I32" i="20"/>
  <c r="Q29" i="20"/>
  <c r="S29" i="20" s="1"/>
  <c r="I29" i="20"/>
  <c r="Q26" i="20"/>
  <c r="S26" i="20" s="1"/>
  <c r="M26" i="20"/>
  <c r="I26" i="20"/>
  <c r="Q24" i="20"/>
  <c r="M24" i="20"/>
  <c r="I24" i="20"/>
  <c r="Q20" i="20"/>
  <c r="M20" i="20"/>
  <c r="I20" i="20"/>
  <c r="Q17" i="20"/>
  <c r="S17" i="20" s="1"/>
  <c r="I17" i="20"/>
  <c r="Q10" i="20"/>
  <c r="M10" i="20"/>
  <c r="I10" i="20"/>
  <c r="M16" i="17"/>
  <c r="M36" i="17"/>
  <c r="M28" i="17"/>
  <c r="M25" i="17"/>
  <c r="M42" i="17"/>
  <c r="M40" i="17"/>
  <c r="M45" i="17"/>
  <c r="M47" i="17"/>
  <c r="M31" i="17"/>
  <c r="M34" i="17"/>
  <c r="M23" i="17"/>
  <c r="M19" i="17"/>
  <c r="S24" i="20" l="1"/>
  <c r="S36" i="20"/>
  <c r="S10" i="20"/>
  <c r="S20" i="20"/>
  <c r="M10" i="17"/>
  <c r="Q47" i="17"/>
  <c r="I47" i="17"/>
  <c r="Q45" i="17"/>
  <c r="I45" i="17"/>
  <c r="I42" i="17"/>
  <c r="Q42" i="17"/>
  <c r="Q40" i="17"/>
  <c r="I40" i="17"/>
  <c r="Q36" i="17"/>
  <c r="I36" i="17"/>
  <c r="Q34" i="17"/>
  <c r="I34" i="17"/>
  <c r="Q31" i="17"/>
  <c r="I31" i="17"/>
  <c r="Q28" i="17"/>
  <c r="I28" i="17"/>
  <c r="Q25" i="17"/>
  <c r="I25" i="17"/>
  <c r="Q23" i="17"/>
  <c r="I23" i="17"/>
  <c r="Q19" i="17"/>
  <c r="I19" i="17"/>
  <c r="Q16" i="17"/>
  <c r="I16" i="17"/>
  <c r="Q10" i="17"/>
  <c r="I10" i="17"/>
  <c r="I56" i="13"/>
  <c r="J67" i="6"/>
  <c r="G19" i="8" l="1"/>
  <c r="I17" i="13"/>
  <c r="G15" i="8"/>
  <c r="G10" i="8"/>
  <c r="I62" i="13"/>
  <c r="I32" i="13"/>
  <c r="I10" i="13"/>
  <c r="G54" i="8" l="1"/>
  <c r="I80" i="13"/>
  <c r="G52" i="8" l="1"/>
  <c r="G45" i="8" l="1"/>
  <c r="J54" i="6"/>
  <c r="K54" i="6" s="1"/>
  <c r="I69" i="13"/>
  <c r="G48" i="8"/>
  <c r="J59" i="6"/>
  <c r="I73" i="13"/>
  <c r="G40" i="8"/>
  <c r="I37" i="13"/>
  <c r="G37" i="8" l="1"/>
  <c r="G33" i="8"/>
  <c r="G30" i="8"/>
  <c r="G27" i="8"/>
  <c r="G24" i="8"/>
  <c r="I77" i="13" l="1"/>
  <c r="I50" i="13"/>
  <c r="I40" i="13"/>
  <c r="J50" i="6" l="1"/>
  <c r="J63" i="6"/>
  <c r="J46" i="6"/>
  <c r="J41" i="6"/>
  <c r="J37" i="6"/>
  <c r="J32" i="6"/>
  <c r="J27" i="6"/>
  <c r="I26" i="13"/>
  <c r="J23" i="6"/>
  <c r="J16" i="6"/>
  <c r="J10" i="6" l="1"/>
  <c r="R11" i="6"/>
  <c r="R12" i="6"/>
  <c r="R15" i="6"/>
  <c r="R16" i="6"/>
  <c r="R17" i="6"/>
  <c r="R19" i="6"/>
  <c r="R20" i="6"/>
  <c r="O7" i="14" l="1"/>
  <c r="J7" i="14"/>
  <c r="R52" i="6"/>
  <c r="R58" i="6"/>
  <c r="R62" i="6"/>
  <c r="R51" i="6"/>
  <c r="R49" i="6"/>
  <c r="R42" i="6"/>
  <c r="R41" i="6"/>
  <c r="R39" i="6"/>
  <c r="R31" i="6"/>
  <c r="R32" i="6"/>
  <c r="R3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Hendra Purnama</author>
  </authors>
  <commentList>
    <comment ref="E18" authorId="0" shapeId="0" xr:uid="{5EDF9BA1-CC2E-42F3-BA40-2AA6D1A49BE7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Sebelumnya: Ketidakterbukaan dalam memberikan informasi</t>
        </r>
      </text>
    </comment>
    <comment ref="D32" authorId="0" shapeId="0" xr:uid="{7FDFA02A-1FC2-49CF-A7B9-6F13DA3BE2E9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Sebelumnya: Tidak adanya pedoman/SOP penyusunan rencana kerja divisi</t>
        </r>
      </text>
    </comment>
    <comment ref="G32" authorId="0" shapeId="0" xr:uid="{092288EE-0BC3-4C76-90D0-99E6180B2D98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Sebelumnya: Tingkat kematangan penerapan manajemen risiko rendah</t>
        </r>
      </text>
    </comment>
    <comment ref="D46" authorId="0" shapeId="0" xr:uid="{54B6D4D2-883A-44A2-A31B-7422F83C9952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Sebelumnya: Kesulitan dalam mencari dokumen </t>
        </r>
      </text>
    </comment>
    <comment ref="D52" authorId="0" shapeId="0" xr:uid="{5EAD20D2-0A93-4A86-833A-22CFB6AE0571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Sebelumnya: Tidak pernah ada evaluasi SOP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Hendra Purnama</author>
  </authors>
  <commentList>
    <comment ref="C23" authorId="0" shapeId="0" xr:uid="{4FD08F4D-E73B-4237-8AF1-84A78488E4A0}">
      <text>
        <r>
          <rPr>
            <b/>
            <sz val="9"/>
            <color indexed="81"/>
            <rFont val="Tahoma"/>
            <family val="2"/>
          </rPr>
          <t>Hendra Purnama:</t>
        </r>
        <r>
          <rPr>
            <sz val="9"/>
            <color indexed="81"/>
            <rFont val="Tahoma"/>
            <family val="2"/>
          </rPr>
          <t xml:space="preserve">
Tambahkan dalam opsi perlakuan: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7" authorId="0" shapeId="0" xr:uid="{7B0350B4-5333-4540-8285-235831E7F2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risiko setelah pengendalian</t>
        </r>
      </text>
    </comment>
    <comment ref="O7" authorId="0" shapeId="0" xr:uid="{B99C3B97-3F63-4BE9-B395-FBC3E92BED5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sheet perlakuan risiko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7" authorId="0" shapeId="0" xr:uid="{C26F1269-F435-4EFA-8B0B-4C1D8EA461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risiko setelah pengendalian</t>
        </r>
      </text>
    </comment>
    <comment ref="O7" authorId="0" shapeId="0" xr:uid="{304035C6-D1CD-4368-89AD-DF29ADC182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sheet perlakuan risiko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7" authorId="0" shapeId="0" xr:uid="{0185995B-505A-4B0B-866B-CBA0681D30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risiko setelah pengendalian</t>
        </r>
      </text>
    </comment>
    <comment ref="O7" authorId="0" shapeId="0" xr:uid="{6B3B09EE-2536-4D7A-8F07-7C7EA7206AA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sheet perlakuan risiko
</t>
        </r>
      </text>
    </comment>
  </commentList>
</comments>
</file>

<file path=xl/sharedStrings.xml><?xml version="1.0" encoding="utf-8"?>
<sst xmlns="http://schemas.openxmlformats.org/spreadsheetml/2006/main" count="1221" uniqueCount="376">
  <si>
    <t>LEVEL</t>
  </si>
  <si>
    <t>KRITERIA</t>
  </si>
  <si>
    <t>BATAS KEMUNGKINAN KETERJADIAN</t>
  </si>
  <si>
    <t>KUALITATIF</t>
  </si>
  <si>
    <t>PENJELASAN</t>
  </si>
  <si>
    <t>Kemungkinan Besar</t>
  </si>
  <si>
    <t>Mungkin</t>
  </si>
  <si>
    <t>Kemungkinan Kecil</t>
  </si>
  <si>
    <t>Hampir Mustahil</t>
  </si>
  <si>
    <t>Hampir Pasti</t>
  </si>
  <si>
    <t>Diduga muncul dalam keadaan yang sering terjadi</t>
  </si>
  <si>
    <t>-</t>
  </si>
  <si>
    <t>Akan sering terjadi.</t>
  </si>
  <si>
    <t>≥ 90%</t>
  </si>
  <si>
    <t>Dapat terjadi dengan mudah</t>
  </si>
  <si>
    <t>Diduga akan muncul dalam keadaan yang cukup sering terjadi</t>
  </si>
  <si>
    <t>50% ≤ x &lt;90%</t>
  </si>
  <si>
    <t>30% ≤ x &lt;50%</t>
  </si>
  <si>
    <t>10% ≤ x &lt;30%</t>
  </si>
  <si>
    <t>0,01% ≤ x &lt;10%</t>
  </si>
  <si>
    <t>Dapat terjadi</t>
  </si>
  <si>
    <t>Diduga akan terjadi walau tidak sering</t>
  </si>
  <si>
    <t xml:space="preserve">Belum tentu terjadi </t>
  </si>
  <si>
    <t>Dapat muncul/terjadi pada suatu waktu</t>
  </si>
  <si>
    <t>Dapat terjadi, namun hanya terjadi saat keadaan yang ekstrim</t>
  </si>
  <si>
    <t>Kriteria Kemungkinan</t>
  </si>
  <si>
    <t>Kriteria Dampak</t>
  </si>
  <si>
    <t>No.</t>
  </si>
  <si>
    <t>Indikasi Risiko</t>
  </si>
  <si>
    <t>Nama Risiko</t>
  </si>
  <si>
    <t>Sebab Risiko</t>
  </si>
  <si>
    <t>Level Risiko</t>
  </si>
  <si>
    <t>Keterangan</t>
  </si>
  <si>
    <t/>
  </si>
  <si>
    <t>Uraian</t>
  </si>
  <si>
    <t>Sasaran Terkait</t>
  </si>
  <si>
    <t>DAMPAK</t>
  </si>
  <si>
    <t>TINGKAT</t>
  </si>
  <si>
    <t>KEUANGAN</t>
  </si>
  <si>
    <t>PEMASARAN</t>
  </si>
  <si>
    <t>OPERASIONAL</t>
  </si>
  <si>
    <t>SASARAN PERUSAHAAN</t>
  </si>
  <si>
    <t>CITRA PERUSAHAAN</t>
  </si>
  <si>
    <t>HUKUM</t>
  </si>
  <si>
    <t>LINGKUNGAN</t>
  </si>
  <si>
    <t>K3</t>
  </si>
  <si>
    <t>Berdampak signifikan bagi reputasi perusahaan. Melibatkan pemberitaan di media massa dengan pangsa internasional (liputan utama)</t>
  </si>
  <si>
    <t>Putusan hukum dan denda yang sangat signifikan. Litigasi yang sangat serius termasuk tuntutan terhadap pegawai dan/atau manajemen (BOD &amp; BOC)</t>
  </si>
  <si>
    <t>Dampak sangat serius terhadap lingkungan alam atau masyarakat luas jauh dari lingkungan kawasan</t>
  </si>
  <si>
    <t>Meninggal dunia, cacat total</t>
  </si>
  <si>
    <t>Ketidaktercapaian target pemasaran mencapai 12-20%</t>
  </si>
  <si>
    <t>Berdampak serius bagi reputasi perusahaan. Melibatkan pemberitaan di media massa dengan pangsa nasional (liputan utama)</t>
  </si>
  <si>
    <t>Pelanggaran peraturan yang berat. Litigasi yang berat di Pengadilan Negeri</t>
  </si>
  <si>
    <t>Dampak serius terhadap lingkungan alam dan masyarakat luar di seputar kawasan perusahaan serta memerlukan jangka waktu pemulihan panjang &gt;5tahun</t>
  </si>
  <si>
    <t>Cacat pada bagian tubuh, luka/sakit permanen, penyakit kronis</t>
  </si>
  <si>
    <t>Ketidaktercapaian target pemasaran mencapai 5-11%</t>
  </si>
  <si>
    <t>Berdampak serius bagi reputasi perusahaan. Melibatkan pemberitaan di media massa dengan pangsa lokal (liputan utama)</t>
  </si>
  <si>
    <t>Pelanggaran peraturan yang serius atau pengaduan dengan kemungkinan putusan hukum dan denda. Penyidikan serius pihak berwenang</t>
  </si>
  <si>
    <t>Dampak sedang terhadap lingkungan didalam kawasan perusahaan serta memerlukan pemulihan jangka menengah &lt;5 tahun</t>
  </si>
  <si>
    <t>Luka / sakit yang dapat disembuhkan perawatan medis secara intensif</t>
  </si>
  <si>
    <t>Ketidaktercapaian target pemasaran mencapai &lt;5%</t>
  </si>
  <si>
    <t>Berdampak serius bagi reputasi perusahaan. Melibatkan pemberitaan di media massa lokal terbatas</t>
  </si>
  <si>
    <t>Pelanggaran peraturan, isu hukum dan ketidakpatuhan ringan</t>
  </si>
  <si>
    <t>Dampak ringan pada lingkungan di dalam unit kerja serta waktu pemulihan yang cepat</t>
  </si>
  <si>
    <t>Luka / sakit ringan yang dapat disembuhkan, rawat jalan, P3K</t>
  </si>
  <si>
    <t>Ketidaktercapaian target pemasaran hanya mencapai ≤1%</t>
  </si>
  <si>
    <t>Kegiatan operasional berhenti &lt;1 hari</t>
  </si>
  <si>
    <t>Berdampak serius bagi reputasi perusahaan yang tidak tersebar luas dan tidak terdapat pemberitaan di media</t>
  </si>
  <si>
    <t>Pelanggaran peraturan dengan peringatan ringan atau pengenaan denda ringan</t>
  </si>
  <si>
    <t>Dampak ringan pada lingkungan di dalam area tertentu serta dapat dipulihkan pada saat kejadian</t>
  </si>
  <si>
    <t>Luka / sakit ringan dan ketidak nyamanan yang dapat diabaikan</t>
  </si>
  <si>
    <t>Sangat Tinggi</t>
  </si>
  <si>
    <t>Tinggi</t>
  </si>
  <si>
    <t>Sedang</t>
  </si>
  <si>
    <t>Rendah</t>
  </si>
  <si>
    <t>Sangat Rendah</t>
  </si>
  <si>
    <t>Dampak</t>
  </si>
  <si>
    <t>Opsi Perlakuan Risiko</t>
  </si>
  <si>
    <t>Rencana Aksi Perlakuan Risiko</t>
  </si>
  <si>
    <t>Jadwal Pelaksanaan</t>
  </si>
  <si>
    <t>Penanggung Jawab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</si>
  <si>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</si>
  <si>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</si>
  <si>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</si>
  <si>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</si>
  <si>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</si>
  <si>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</si>
  <si>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</si>
  <si>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</si>
  <si>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</si>
  <si>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</si>
  <si>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</si>
  <si>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</si>
  <si>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Risiko Setelah Pengendalian yang Ada</t>
  </si>
  <si>
    <t>Risiko yang Diharapkan</t>
  </si>
  <si>
    <t>Realisasi</t>
  </si>
  <si>
    <t>Kemungkinan</t>
  </si>
  <si>
    <t>Tidak Signifikan</t>
  </si>
  <si>
    <t>Minor</t>
  </si>
  <si>
    <t>Moderat</t>
  </si>
  <si>
    <t>Signifikan</t>
  </si>
  <si>
    <t>Sangat Signifikan</t>
  </si>
  <si>
    <t>(13)</t>
  </si>
  <si>
    <t>Skor Risiko</t>
  </si>
  <si>
    <t>Controllable / Uncontrollable</t>
  </si>
  <si>
    <t>KRITERIA DAMPAK</t>
  </si>
  <si>
    <t>level Risiko</t>
  </si>
  <si>
    <t/>
  </si>
  <si>
    <t>Risiko Inheren  (risiko sebelum pengendalian)</t>
  </si>
  <si>
    <t>Formulir Identifikasi Risiko</t>
  </si>
  <si>
    <t>Nama Divisi :</t>
  </si>
  <si>
    <t>Risk Owner   :</t>
  </si>
  <si>
    <t>Risk Officer  :</t>
  </si>
  <si>
    <t>Formulir Perlakuan Risiko</t>
  </si>
  <si>
    <t>Formulir Pemantauan Triwulan</t>
  </si>
  <si>
    <t/>
  </si>
  <si>
    <t/>
  </si>
  <si>
    <r>
      <t xml:space="preserve">Kegiatan operasional berhenti &gt;1hari dan </t>
    </r>
    <r>
      <rPr>
        <sz val="9"/>
        <color rgb="FF000000"/>
        <rFont val="Calibri"/>
        <family val="2"/>
      </rPr>
      <t>≤</t>
    </r>
    <r>
      <rPr>
        <sz val="9"/>
        <color rgb="FF000000"/>
        <rFont val="Arial"/>
        <family val="2"/>
      </rPr>
      <t>2 hari</t>
    </r>
  </si>
  <si>
    <r>
      <t xml:space="preserve">Kegiatan operasional berhenti </t>
    </r>
    <r>
      <rPr>
        <sz val="9"/>
        <color rgb="FF000000"/>
        <rFont val="Calibri"/>
        <family val="2"/>
      </rPr>
      <t>≥</t>
    </r>
    <r>
      <rPr>
        <sz val="9"/>
        <color rgb="FF000000"/>
        <rFont val="Arial"/>
        <family val="2"/>
      </rPr>
      <t>2 hari dan &lt; 4 hari</t>
    </r>
  </si>
  <si>
    <t>Kegiatan operasional berhenti ≥4 hari dan &lt; 1 minggu</t>
  </si>
  <si>
    <r>
      <t xml:space="preserve">Deviasi pencapaian sasaran </t>
    </r>
    <r>
      <rPr>
        <sz val="9"/>
        <color rgb="FF000000"/>
        <rFont val="Calibri"/>
        <family val="2"/>
      </rPr>
      <t>≥</t>
    </r>
    <r>
      <rPr>
        <sz val="9"/>
        <color rgb="FF000000"/>
        <rFont val="Arial"/>
        <family val="2"/>
      </rPr>
      <t xml:space="preserve"> 5% dan &lt;10%</t>
    </r>
  </si>
  <si>
    <t>Deviasi pencapaian sasaran ≥ 30%</t>
  </si>
  <si>
    <t>Deviasi pencapaian sasaran ≥ 10% dan &lt;20%</t>
  </si>
  <si>
    <t>Deviasi pencapaian sasaran ≥ 20% dan &lt;30%</t>
  </si>
  <si>
    <r>
      <t xml:space="preserve">Kegiatan operasional berhenti </t>
    </r>
    <r>
      <rPr>
        <sz val="9"/>
        <color theme="0"/>
        <rFont val="Calibri"/>
        <family val="2"/>
      </rPr>
      <t>≥</t>
    </r>
    <r>
      <rPr>
        <sz val="9"/>
        <color theme="0"/>
        <rFont val="Arial"/>
        <family val="2"/>
      </rPr>
      <t xml:space="preserve"> 1 minggu</t>
    </r>
  </si>
  <si>
    <t>Ketidaktercapaian target pemasaran &gt;20%</t>
  </si>
  <si>
    <r>
      <t xml:space="preserve">Deviasi pencapaian sasaran </t>
    </r>
    <r>
      <rPr>
        <sz val="9"/>
        <color theme="0"/>
        <rFont val="Calibri"/>
        <family val="2"/>
      </rPr>
      <t>≤</t>
    </r>
    <r>
      <rPr>
        <sz val="9.5500000000000007"/>
        <color theme="0"/>
        <rFont val="Arial"/>
        <family val="2"/>
      </rPr>
      <t xml:space="preserve"> 5%</t>
    </r>
  </si>
  <si>
    <t>Warna</t>
  </si>
  <si>
    <t>Merah</t>
  </si>
  <si>
    <t>Coklat</t>
  </si>
  <si>
    <t>Kuning</t>
  </si>
  <si>
    <t>Hijau</t>
  </si>
  <si>
    <t>Biru</t>
  </si>
  <si>
    <t>Formulir Analisis dan Evaluasi Risiko</t>
  </si>
  <si>
    <t>Pengendalian yang Ada
(Existing Control)</t>
  </si>
  <si>
    <t>Efektivitas Pengendalian</t>
  </si>
  <si>
    <t>Nominasi Prioritas Risiko</t>
  </si>
  <si>
    <t>Tidak Efektif</t>
  </si>
  <si>
    <t>Cukup Efektif</t>
  </si>
  <si>
    <t>Efektif</t>
  </si>
  <si>
    <t>Level Risiko Sebelum Perlakuan</t>
  </si>
  <si>
    <t>Level Risiko Saat Pelaporan</t>
  </si>
  <si>
    <t>(14)</t>
  </si>
  <si>
    <t>(15)</t>
  </si>
  <si>
    <t>(16)</t>
  </si>
  <si>
    <t>(17)</t>
  </si>
  <si>
    <t>Sebab</t>
  </si>
  <si>
    <t>Lingkup, Konteks, Kriteria yang Berubah</t>
  </si>
  <si>
    <t>(18)</t>
  </si>
  <si>
    <t>(19)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</si>
  <si>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</si>
  <si>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</si>
  <si>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</si>
  <si>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</si>
  <si>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</si>
  <si>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</si>
  <si>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</si>
  <si>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</si>
  <si>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</si>
  <si>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</si>
  <si>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</si>
  <si>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</si>
  <si>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</si>
  <si>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</si>
  <si>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</si>
  <si>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</si>
  <si>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</si>
  <si>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</si>
  <si>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</si>
  <si>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</si>
  <si>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</si>
  <si>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</si>
  <si>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</si>
  <si>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</si>
  <si>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</si>
  <si>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</si>
  <si>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</si>
  <si>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</si>
  <si>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</si>
  <si>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</si>
  <si>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</si>
  <si>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</si>
  <si>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</si>
  <si>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</si>
  <si>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</si>
  <si>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</si>
  <si>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</si>
  <si>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</si>
  <si>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</si>
  <si>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</si>
  <si>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</si>
  <si>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</si>
  <si>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</si>
  <si>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</si>
  <si>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</si>
  <si>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</si>
  <si>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</si>
  <si>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</si>
  <si>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</si>
  <si>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</si>
  <si>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</si>
  <si>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</si>
  <si>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</si>
  <si>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</si>
  <si>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</si>
  <si>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</si>
  <si>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</si>
  <si>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</si>
  <si>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</si>
  <si>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</si>
  <si>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</si>
  <si>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</si>
  <si>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</si>
  <si>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</si>
  <si>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</si>
  <si>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</si>
  <si>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</si>
  <si>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</si>
  <si>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</si>
  <si>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</si>
  <si>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</si>
  <si>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</si>
  <si>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</si>
  <si>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</si>
  <si>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</si>
  <si>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</si>
  <si>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</si>
  <si>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</si>
  <si>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</si>
  <si>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</si>
  <si>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</si>
  <si>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</si>
  <si>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</si>
  <si>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</si>
  <si>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</si>
  <si>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</si>
  <si>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</si>
  <si>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</si>
  <si>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</si>
  <si>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</si>
  <si>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</si>
  <si>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</si>
  <si>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</si>
  <si>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</si>
  <si>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</si>
  <si>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</si>
  <si>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</si>
  <si>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</si>
  <si>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</si>
  <si>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</si>
  <si>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</si>
  <si>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</si>
  <si>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</si>
  <si>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</si>
  <si>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</si>
  <si>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</si>
  <si>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</si>
  <si>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</si>
  <si>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</si>
  <si>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</si>
  <si>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</si>
  <si>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</si>
  <si>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</si>
  <si>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</si>
  <si>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</si>
  <si>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</si>
  <si>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</si>
  <si>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Level Risiko yang Diharapkan</t>
  </si>
  <si>
    <t/>
  </si>
  <si>
    <t>Deviasi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</si>
  <si>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</si>
  <si>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</si>
  <si>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</si>
  <si>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</si>
  <si>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</si>
  <si>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</si>
  <si>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</si>
  <si>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</si>
  <si>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</si>
  <si>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</si>
  <si>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</si>
  <si>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</si>
  <si>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</si>
  <si>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</si>
  <si>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</si>
  <si>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</si>
  <si>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</si>
  <si>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</si>
  <si>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</si>
  <si>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</si>
  <si>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</si>
  <si>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</si>
  <si>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</si>
  <si>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</si>
  <si>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</si>
  <si>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</si>
  <si>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</si>
  <si>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</si>
  <si>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</si>
  <si>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</si>
  <si>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</si>
  <si>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</si>
  <si>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</si>
  <si>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</si>
  <si>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</si>
  <si>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</si>
  <si>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</si>
  <si>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</si>
  <si>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</si>
  <si>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</si>
  <si>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</si>
  <si>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</si>
  <si>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</si>
  <si>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</si>
  <si>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</si>
  <si>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</si>
  <si>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</si>
  <si>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</si>
  <si>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</si>
  <si>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≥ Rp 5 miliar</t>
  </si>
  <si>
    <t>≥Rp3 miliar dan &lt;Rp5 miliar</t>
  </si>
  <si>
    <t>≥Rp800 juta dan &lt;Rp3 miliar</t>
  </si>
  <si>
    <t>≥Rp500 juta dan &lt;Rp800 juta</t>
  </si>
  <si>
    <t>&lt;Rp500 juta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</si>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</sst>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0"/>
      <name val="Arial"/>
      <family val="2"/>
    </font>
    <font>
      <sz val="9"/>
      <color theme="0"/>
      <name val="Calibri"/>
      <family val="2"/>
    </font>
    <font>
      <sz val="9.5500000000000007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6.5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Calibri"/>
      <family val="2"/>
      <scheme val="minor"/>
    </font>
    <font>
      <b/>
      <i/>
      <sz val="6.5"/>
      <color theme="1"/>
      <name val="Calibri"/>
      <family val="2"/>
      <scheme val="minor"/>
    </font>
    <font>
      <b/>
      <sz val="6"/>
      <color theme="0"/>
      <name val="Calibri"/>
      <family val="2"/>
      <scheme val="minor"/>
    </font>
    <font>
      <sz val="6.5"/>
      <color theme="1"/>
      <name val="Wingdings"/>
      <charset val="2"/>
    </font>
    <font>
      <i/>
      <sz val="6.5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6.5"/>
      <name val="Calibri"/>
      <family val="2"/>
      <scheme val="minor"/>
    </font>
    <font>
      <sz val="6.5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79E2A"/>
        <bgColor indexed="64"/>
      </patternFill>
    </fill>
    <fill>
      <patternFill patternType="solid">
        <fgColor rgb="FF648AC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C7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1" applyFont="1" applyAlignment="1">
      <alignment horizontal="center" vertical="center"/>
    </xf>
    <xf numFmtId="2" fontId="5" fillId="0" borderId="0" xfId="0" quotePrefix="1" applyNumberFormat="1" applyFont="1" applyAlignment="1">
      <alignment horizontal="center" vertical="center"/>
    </xf>
    <xf numFmtId="0" fontId="15" fillId="13" borderId="0" xfId="1" applyFont="1" applyFill="1" applyAlignment="1">
      <alignment horizontal="center" vertical="center"/>
    </xf>
    <xf numFmtId="0" fontId="15" fillId="15" borderId="0" xfId="1" applyFont="1" applyFill="1" applyAlignment="1">
      <alignment horizontal="center" vertical="center"/>
    </xf>
    <xf numFmtId="0" fontId="4" fillId="13" borderId="0" xfId="1" applyFill="1" applyAlignment="1">
      <alignment horizontal="center" vertical="center"/>
    </xf>
    <xf numFmtId="0" fontId="4" fillId="15" borderId="0" xfId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4" borderId="10" xfId="0" quotePrefix="1" applyFont="1" applyFill="1" applyBorder="1" applyAlignment="1">
      <alignment horizontal="left" vertical="center" wrapText="1"/>
    </xf>
    <xf numFmtId="0" fontId="22" fillId="4" borderId="9" xfId="0" quotePrefix="1" applyFont="1" applyFill="1" applyBorder="1" applyAlignment="1">
      <alignment horizontal="left" vertical="center" wrapText="1"/>
    </xf>
    <xf numFmtId="0" fontId="22" fillId="9" borderId="9" xfId="0" quotePrefix="1" applyFont="1" applyFill="1" applyBorder="1" applyAlignment="1">
      <alignment horizontal="left" vertical="center" wrapText="1"/>
    </xf>
    <xf numFmtId="0" fontId="23" fillId="3" borderId="9" xfId="0" quotePrefix="1" applyFont="1" applyFill="1" applyBorder="1" applyAlignment="1">
      <alignment horizontal="left" vertical="center" wrapText="1"/>
    </xf>
    <xf numFmtId="0" fontId="23" fillId="5" borderId="9" xfId="0" quotePrefix="1" applyFont="1" applyFill="1" applyBorder="1" applyAlignment="1">
      <alignment horizontal="left" vertical="center" wrapText="1"/>
    </xf>
    <xf numFmtId="0" fontId="22" fillId="4" borderId="0" xfId="0" quotePrefix="1" applyFont="1" applyFill="1" applyAlignment="1">
      <alignment horizontal="center" vertical="center" wrapText="1"/>
    </xf>
    <xf numFmtId="0" fontId="22" fillId="9" borderId="0" xfId="0" quotePrefix="1" applyFont="1" applyFill="1" applyAlignment="1">
      <alignment horizontal="center" vertical="center" wrapText="1"/>
    </xf>
    <xf numFmtId="0" fontId="23" fillId="3" borderId="0" xfId="0" quotePrefix="1" applyFont="1" applyFill="1" applyAlignment="1">
      <alignment horizontal="center" vertical="center" wrapText="1"/>
    </xf>
    <xf numFmtId="0" fontId="23" fillId="5" borderId="0" xfId="0" quotePrefix="1" applyFont="1" applyFill="1" applyAlignment="1">
      <alignment horizontal="center" vertical="center" wrapText="1"/>
    </xf>
    <xf numFmtId="0" fontId="22" fillId="9" borderId="11" xfId="0" quotePrefix="1" applyFont="1" applyFill="1" applyBorder="1" applyAlignment="1">
      <alignment horizontal="left" vertical="center" wrapText="1"/>
    </xf>
    <xf numFmtId="0" fontId="23" fillId="3" borderId="11" xfId="0" quotePrefix="1" applyFont="1" applyFill="1" applyBorder="1" applyAlignment="1">
      <alignment horizontal="left" vertical="center" wrapText="1"/>
    </xf>
    <xf numFmtId="0" fontId="23" fillId="5" borderId="11" xfId="0" quotePrefix="1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vertical="center" wrapText="1"/>
    </xf>
    <xf numFmtId="0" fontId="22" fillId="4" borderId="12" xfId="0" quotePrefix="1" applyFont="1" applyFill="1" applyBorder="1" applyAlignment="1">
      <alignment horizontal="center" vertical="center" wrapText="1"/>
    </xf>
    <xf numFmtId="0" fontId="22" fillId="9" borderId="12" xfId="0" quotePrefix="1" applyFont="1" applyFill="1" applyBorder="1" applyAlignment="1">
      <alignment horizontal="center" vertical="center" wrapText="1"/>
    </xf>
    <xf numFmtId="0" fontId="23" fillId="3" borderId="12" xfId="0" quotePrefix="1" applyFont="1" applyFill="1" applyBorder="1" applyAlignment="1">
      <alignment horizontal="center" vertical="center" wrapText="1"/>
    </xf>
    <xf numFmtId="0" fontId="23" fillId="5" borderId="12" xfId="0" quotePrefix="1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 vertical="center" wrapText="1"/>
    </xf>
    <xf numFmtId="0" fontId="27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0" fillId="18" borderId="0" xfId="0" applyFill="1"/>
    <xf numFmtId="0" fontId="15" fillId="18" borderId="0" xfId="1" applyFont="1" applyFill="1" applyAlignment="1">
      <alignment horizontal="center" vertical="center"/>
    </xf>
    <xf numFmtId="1" fontId="0" fillId="18" borderId="0" xfId="0" quotePrefix="1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17" borderId="0" xfId="0" applyFill="1"/>
    <xf numFmtId="0" fontId="10" fillId="0" borderId="7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17" borderId="0" xfId="1" applyFill="1" applyAlignment="1">
      <alignment horizontal="center" vertical="center"/>
    </xf>
    <xf numFmtId="1" fontId="0" fillId="17" borderId="0" xfId="0" applyNumberForma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/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vertical="center" wrapText="1"/>
    </xf>
    <xf numFmtId="0" fontId="10" fillId="20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vertical="center"/>
    </xf>
    <xf numFmtId="0" fontId="0" fillId="20" borderId="1" xfId="0" applyFill="1" applyBorder="1"/>
    <xf numFmtId="0" fontId="10" fillId="18" borderId="1" xfId="0" applyFont="1" applyFill="1" applyBorder="1" applyAlignment="1">
      <alignment vertical="center"/>
    </xf>
    <xf numFmtId="0" fontId="27" fillId="0" borderId="0" xfId="1" applyFont="1" applyAlignment="1">
      <alignment horizontal="center" vertical="center"/>
    </xf>
    <xf numFmtId="2" fontId="27" fillId="0" borderId="0" xfId="0" quotePrefix="1" applyNumberFormat="1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6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6" fillId="0" borderId="0" xfId="0" applyFont="1" applyAlignment="1">
      <alignment horizontal="center"/>
    </xf>
    <xf numFmtId="0" fontId="27" fillId="20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left" vertical="center"/>
    </xf>
    <xf numFmtId="0" fontId="27" fillId="20" borderId="1" xfId="0" applyFont="1" applyFill="1" applyBorder="1" applyAlignment="1">
      <alignment horizontal="left" vertical="center" wrapText="1"/>
    </xf>
    <xf numFmtId="14" fontId="27" fillId="20" borderId="1" xfId="0" applyNumberFormat="1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 wrapText="1"/>
    </xf>
    <xf numFmtId="14" fontId="27" fillId="20" borderId="1" xfId="0" applyNumberFormat="1" applyFont="1" applyFill="1" applyBorder="1" applyAlignment="1">
      <alignment vertical="center"/>
    </xf>
    <xf numFmtId="0" fontId="27" fillId="0" borderId="1" xfId="0" applyFont="1" applyBorder="1" applyAlignment="1">
      <alignment horizontal="center"/>
    </xf>
    <xf numFmtId="0" fontId="27" fillId="20" borderId="1" xfId="0" applyFont="1" applyFill="1" applyBorder="1" applyAlignment="1">
      <alignment horizontal="left"/>
    </xf>
    <xf numFmtId="0" fontId="27" fillId="20" borderId="0" xfId="0" applyFont="1" applyFill="1"/>
    <xf numFmtId="0" fontId="27" fillId="20" borderId="1" xfId="0" applyFont="1" applyFill="1" applyBorder="1" applyAlignment="1">
      <alignment horizontal="center"/>
    </xf>
    <xf numFmtId="14" fontId="27" fillId="20" borderId="1" xfId="0" applyNumberFormat="1" applyFont="1" applyFill="1" applyBorder="1"/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0" fontId="27" fillId="20" borderId="1" xfId="0" applyFont="1" applyFill="1" applyBorder="1" applyAlignment="1">
      <alignment horizontal="left" wrapText="1"/>
    </xf>
    <xf numFmtId="0" fontId="27" fillId="20" borderId="1" xfId="0" applyFont="1" applyFill="1" applyBorder="1"/>
    <xf numFmtId="0" fontId="34" fillId="19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0" fontId="27" fillId="20" borderId="0" xfId="0" applyFont="1" applyFill="1" applyAlignment="1">
      <alignment horizontal="left" vertical="center"/>
    </xf>
    <xf numFmtId="0" fontId="35" fillId="20" borderId="1" xfId="0" applyFont="1" applyFill="1" applyBorder="1" applyAlignment="1">
      <alignment horizontal="center" vertical="center" wrapText="1"/>
    </xf>
    <xf numFmtId="0" fontId="27" fillId="20" borderId="1" xfId="0" applyFont="1" applyFill="1" applyBorder="1" applyAlignment="1">
      <alignment vertical="center" wrapText="1"/>
    </xf>
    <xf numFmtId="0" fontId="27" fillId="20" borderId="1" xfId="0" applyFont="1" applyFill="1" applyBorder="1" applyAlignment="1">
      <alignment vertical="center"/>
    </xf>
    <xf numFmtId="0" fontId="27" fillId="17" borderId="0" xfId="0" applyFont="1" applyFill="1"/>
    <xf numFmtId="0" fontId="27" fillId="20" borderId="8" xfId="0" applyFont="1" applyFill="1" applyBorder="1" applyAlignment="1">
      <alignment horizontal="left" vertical="center" wrapText="1"/>
    </xf>
    <xf numFmtId="0" fontId="27" fillId="20" borderId="7" xfId="0" applyFont="1" applyFill="1" applyBorder="1" applyAlignment="1">
      <alignment horizontal="center"/>
    </xf>
    <xf numFmtId="0" fontId="27" fillId="20" borderId="7" xfId="0" applyFont="1" applyFill="1" applyBorder="1" applyAlignment="1">
      <alignment horizontal="left" vertical="center" wrapText="1"/>
    </xf>
    <xf numFmtId="0" fontId="34" fillId="1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0" borderId="5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left" vertical="center" wrapText="1"/>
    </xf>
    <xf numFmtId="0" fontId="27" fillId="13" borderId="1" xfId="0" applyFont="1" applyFill="1" applyBorder="1" applyAlignment="1">
      <alignment vertical="center" wrapText="1"/>
    </xf>
    <xf numFmtId="0" fontId="27" fillId="1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34" fillId="19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vertical="center" wrapText="1"/>
    </xf>
    <xf numFmtId="0" fontId="37" fillId="9" borderId="1" xfId="0" applyFont="1" applyFill="1" applyBorder="1" applyAlignment="1">
      <alignment vertical="center" wrapText="1"/>
    </xf>
    <xf numFmtId="0" fontId="38" fillId="3" borderId="1" xfId="0" applyFont="1" applyFill="1" applyBorder="1" applyAlignment="1">
      <alignment vertical="center" wrapText="1"/>
    </xf>
    <xf numFmtId="0" fontId="38" fillId="7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vertical="center" wrapText="1"/>
    </xf>
    <xf numFmtId="0" fontId="1" fillId="0" borderId="0" xfId="4"/>
    <xf numFmtId="0" fontId="5" fillId="0" borderId="1" xfId="4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" fillId="4" borderId="1" xfId="4" applyFill="1" applyBorder="1" applyAlignment="1">
      <alignment horizontal="center" vertical="center"/>
    </xf>
    <xf numFmtId="0" fontId="1" fillId="10" borderId="1" xfId="4" applyFill="1" applyBorder="1" applyAlignment="1">
      <alignment horizontal="center" vertical="center"/>
    </xf>
    <xf numFmtId="0" fontId="1" fillId="3" borderId="1" xfId="4" applyFill="1" applyBorder="1" applyAlignment="1">
      <alignment horizontal="center" vertical="center"/>
    </xf>
    <xf numFmtId="0" fontId="1" fillId="11" borderId="1" xfId="4" applyFill="1" applyBorder="1" applyAlignment="1">
      <alignment horizontal="center" vertical="center"/>
    </xf>
    <xf numFmtId="0" fontId="1" fillId="12" borderId="1" xfId="4" applyFill="1" applyBorder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11" fillId="9" borderId="1" xfId="4" applyFont="1" applyFill="1" applyBorder="1" applyAlignment="1">
      <alignment vertical="center" wrapText="1"/>
    </xf>
    <xf numFmtId="0" fontId="12" fillId="9" borderId="1" xfId="4" applyFont="1" applyFill="1" applyBorder="1" applyAlignment="1">
      <alignment vertical="center" wrapText="1"/>
    </xf>
    <xf numFmtId="0" fontId="11" fillId="4" borderId="1" xfId="4" applyFont="1" applyFill="1" applyBorder="1" applyAlignment="1">
      <alignment vertical="center" wrapText="1"/>
    </xf>
    <xf numFmtId="0" fontId="11" fillId="3" borderId="1" xfId="4" applyFont="1" applyFill="1" applyBorder="1" applyAlignment="1">
      <alignment vertical="center" wrapText="1"/>
    </xf>
    <xf numFmtId="0" fontId="11" fillId="16" borderId="1" xfId="4" applyFont="1" applyFill="1" applyBorder="1" applyAlignment="1">
      <alignment vertical="center" wrapText="1"/>
    </xf>
    <xf numFmtId="0" fontId="11" fillId="12" borderId="1" xfId="4" applyFont="1" applyFill="1" applyBorder="1" applyAlignment="1">
      <alignment vertical="center" wrapText="1"/>
    </xf>
    <xf numFmtId="0" fontId="41" fillId="0" borderId="0" xfId="4" applyFont="1"/>
    <xf numFmtId="0" fontId="27" fillId="22" borderId="7" xfId="0" applyFont="1" applyFill="1" applyBorder="1" applyAlignment="1">
      <alignment horizontal="left" vertical="center" wrapText="1"/>
    </xf>
    <xf numFmtId="0" fontId="27" fillId="22" borderId="0" xfId="0" applyFont="1" applyFill="1" applyAlignment="1">
      <alignment wrapText="1"/>
    </xf>
    <xf numFmtId="0" fontId="27" fillId="22" borderId="1" xfId="0" applyFont="1" applyFill="1" applyBorder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27" fillId="0" borderId="6" xfId="0" quotePrefix="1" applyFont="1" applyBorder="1" applyAlignment="1">
      <alignment horizontal="center" vertical="center" wrapText="1"/>
    </xf>
    <xf numFmtId="0" fontId="27" fillId="0" borderId="6" xfId="0" quotePrefix="1" applyFont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3" fillId="5" borderId="0" xfId="0" applyFont="1" applyFill="1"/>
    <xf numFmtId="0" fontId="27" fillId="0" borderId="6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/>
    <xf numFmtId="0" fontId="27" fillId="0" borderId="7" xfId="0" applyFont="1" applyBorder="1"/>
    <xf numFmtId="0" fontId="27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vertical="center" wrapText="1"/>
    </xf>
    <xf numFmtId="0" fontId="27" fillId="0" borderId="6" xfId="0" applyFont="1" applyBorder="1"/>
    <xf numFmtId="0" fontId="27" fillId="0" borderId="10" xfId="0" applyFont="1" applyBorder="1" applyAlignment="1">
      <alignment horizontal="center" vertical="center" wrapText="1"/>
    </xf>
    <xf numFmtId="0" fontId="27" fillId="0" borderId="9" xfId="0" applyFont="1" applyBorder="1"/>
    <xf numFmtId="0" fontId="27" fillId="0" borderId="11" xfId="0" applyFont="1" applyBorder="1"/>
    <xf numFmtId="14" fontId="27" fillId="0" borderId="1" xfId="0" applyNumberFormat="1" applyFont="1" applyBorder="1" applyAlignment="1">
      <alignment vertical="center"/>
    </xf>
    <xf numFmtId="0" fontId="43" fillId="5" borderId="2" xfId="0" applyFont="1" applyFill="1" applyBorder="1" applyAlignment="1">
      <alignment horizontal="center" vertical="center"/>
    </xf>
    <xf numFmtId="0" fontId="43" fillId="5" borderId="5" xfId="0" applyFont="1" applyFill="1" applyBorder="1"/>
    <xf numFmtId="0" fontId="43" fillId="5" borderId="3" xfId="0" applyFont="1" applyFill="1" applyBorder="1"/>
    <xf numFmtId="0" fontId="27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43" fillId="5" borderId="5" xfId="0" applyFont="1" applyFill="1" applyBorder="1" applyAlignment="1">
      <alignment vertical="center" wrapText="1"/>
    </xf>
    <xf numFmtId="0" fontId="43" fillId="5" borderId="0" xfId="0" applyFont="1" applyFill="1" applyAlignment="1">
      <alignment vertical="center" wrapText="1"/>
    </xf>
    <xf numFmtId="14" fontId="27" fillId="0" borderId="1" xfId="0" applyNumberFormat="1" applyFont="1" applyBorder="1" applyAlignment="1">
      <alignment horizontal="left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vertical="center" wrapText="1"/>
    </xf>
    <xf numFmtId="0" fontId="42" fillId="23" borderId="1" xfId="0" applyFont="1" applyFill="1" applyBorder="1" applyAlignment="1">
      <alignment vertical="center" wrapText="1"/>
    </xf>
    <xf numFmtId="14" fontId="27" fillId="23" borderId="1" xfId="0" applyNumberFormat="1" applyFont="1" applyFill="1" applyBorder="1" applyAlignment="1">
      <alignment vertical="center"/>
    </xf>
    <xf numFmtId="0" fontId="43" fillId="5" borderId="12" xfId="0" applyFont="1" applyFill="1" applyBorder="1" applyAlignment="1">
      <alignment horizontal="center" vertical="center"/>
    </xf>
    <xf numFmtId="0" fontId="43" fillId="5" borderId="4" xfId="0" applyFont="1" applyFill="1" applyBorder="1"/>
    <xf numFmtId="0" fontId="43" fillId="5" borderId="4" xfId="0" applyFont="1" applyFill="1" applyBorder="1" applyAlignment="1">
      <alignment vertical="center" wrapText="1"/>
    </xf>
    <xf numFmtId="0" fontId="43" fillId="5" borderId="11" xfId="0" applyFont="1" applyFill="1" applyBorder="1"/>
    <xf numFmtId="0" fontId="43" fillId="5" borderId="13" xfId="0" applyFont="1" applyFill="1" applyBorder="1" applyAlignment="1">
      <alignment horizontal="center" vertical="center"/>
    </xf>
    <xf numFmtId="0" fontId="43" fillId="5" borderId="14" xfId="0" applyFont="1" applyFill="1" applyBorder="1"/>
    <xf numFmtId="0" fontId="43" fillId="5" borderId="14" xfId="0" applyFont="1" applyFill="1" applyBorder="1" applyAlignment="1">
      <alignment vertical="center" wrapText="1"/>
    </xf>
    <xf numFmtId="0" fontId="43" fillId="5" borderId="10" xfId="0" applyFont="1" applyFill="1" applyBorder="1"/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/>
    <xf numFmtId="0" fontId="27" fillId="0" borderId="5" xfId="0" applyFont="1" applyBorder="1" applyAlignment="1">
      <alignment vertical="center" wrapText="1"/>
    </xf>
    <xf numFmtId="0" fontId="27" fillId="0" borderId="5" xfId="0" applyFont="1" applyBorder="1" applyAlignment="1">
      <alignment vertical="center"/>
    </xf>
    <xf numFmtId="0" fontId="27" fillId="0" borderId="3" xfId="0" applyFont="1" applyBorder="1"/>
    <xf numFmtId="0" fontId="5" fillId="0" borderId="4" xfId="4" applyFont="1" applyBorder="1" applyAlignment="1">
      <alignment horizontal="center"/>
    </xf>
    <xf numFmtId="0" fontId="39" fillId="0" borderId="0" xfId="4" applyFont="1" applyAlignment="1">
      <alignment horizontal="center" vertical="center" textRotation="90" wrapText="1"/>
    </xf>
    <xf numFmtId="0" fontId="39" fillId="0" borderId="0" xfId="4" applyFont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2" fillId="19" borderId="6" xfId="0" applyFont="1" applyFill="1" applyBorder="1" applyAlignment="1">
      <alignment horizontal="center" vertical="center"/>
    </xf>
    <xf numFmtId="0" fontId="32" fillId="19" borderId="7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32" fillId="19" borderId="2" xfId="0" applyFont="1" applyFill="1" applyBorder="1" applyAlignment="1">
      <alignment horizontal="center" vertical="center"/>
    </xf>
    <xf numFmtId="0" fontId="32" fillId="19" borderId="5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center" vertical="center"/>
    </xf>
    <xf numFmtId="0" fontId="34" fillId="19" borderId="6" xfId="0" applyFont="1" applyFill="1" applyBorder="1" applyAlignment="1">
      <alignment horizontal="center" vertical="center" wrapText="1"/>
    </xf>
    <xf numFmtId="0" fontId="34" fillId="19" borderId="8" xfId="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4" fillId="19" borderId="6" xfId="0" applyFont="1" applyFill="1" applyBorder="1" applyAlignment="1">
      <alignment horizontal="center" vertical="center"/>
    </xf>
    <xf numFmtId="0" fontId="34" fillId="19" borderId="7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34" fillId="19" borderId="5" xfId="0" applyFont="1" applyFill="1" applyBorder="1" applyAlignment="1">
      <alignment horizontal="center" vertical="center"/>
    </xf>
    <xf numFmtId="0" fontId="34" fillId="19" borderId="3" xfId="0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 wrapText="1"/>
    </xf>
    <xf numFmtId="0" fontId="34" fillId="19" borderId="5" xfId="0" applyFont="1" applyFill="1" applyBorder="1" applyAlignment="1">
      <alignment horizontal="center" vertical="center" wrapText="1"/>
    </xf>
    <xf numFmtId="0" fontId="34" fillId="19" borderId="3" xfId="0" applyFont="1" applyFill="1" applyBorder="1" applyAlignment="1">
      <alignment horizontal="center" vertical="center" wrapText="1"/>
    </xf>
    <xf numFmtId="0" fontId="34" fillId="19" borderId="7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24" fillId="14" borderId="7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2000000}"/>
    <cellStyle name="Normal 2 2" xfId="2" xr:uid="{EA7FE481-F0B1-44A3-B46E-991923481356}"/>
    <cellStyle name="Normal 2 2 2" xfId="4" xr:uid="{28D15AFD-E433-4C76-B8D0-3974642D5CAC}"/>
    <cellStyle name="Normal 2 3" xfId="3" xr:uid="{F74299E7-E748-4F0D-96E7-7401255BFA72}"/>
  </cellStyles>
  <dxfs count="0"/>
  <tableStyles count="0" defaultTableStyle="TableStyleMedium2" defaultPivotStyle="PivotStyleLight16"/>
  <colors>
    <mruColors>
      <color rgb="FF005C76"/>
      <color rgb="FF00A0CC"/>
      <color rgb="FF004254"/>
      <color rgb="FFCC66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9525</xdr:rowOff>
    </xdr:from>
    <xdr:to>
      <xdr:col>4</xdr:col>
      <xdr:colOff>0</xdr:colOff>
      <xdr:row>13</xdr:row>
      <xdr:rowOff>13607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0B8BD7C-603C-4302-B1A5-20F63866F524}"/>
            </a:ext>
          </a:extLst>
        </xdr:cNvPr>
        <xdr:cNvCxnSpPr/>
      </xdr:nvCxnSpPr>
      <xdr:spPr>
        <a:xfrm>
          <a:off x="2247900" y="3028950"/>
          <a:ext cx="0" cy="547007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28575</xdr:rowOff>
    </xdr:from>
    <xdr:to>
      <xdr:col>5</xdr:col>
      <xdr:colOff>9525</xdr:colOff>
      <xdr:row>14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9FECCA8-FABA-465C-8DB3-E3C7CDAFD28D}"/>
            </a:ext>
          </a:extLst>
        </xdr:cNvPr>
        <xdr:cNvCxnSpPr/>
      </xdr:nvCxnSpPr>
      <xdr:spPr>
        <a:xfrm flipH="1">
          <a:off x="3095625" y="3590925"/>
          <a:ext cx="9525" cy="56197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9525</xdr:colOff>
      <xdr:row>15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3EF06A0-661D-409A-B1E5-0F5E0261F477}"/>
            </a:ext>
          </a:extLst>
        </xdr:cNvPr>
        <xdr:cNvCxnSpPr/>
      </xdr:nvCxnSpPr>
      <xdr:spPr>
        <a:xfrm flipH="1">
          <a:off x="3943350" y="4105275"/>
          <a:ext cx="9525" cy="56197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28576</xdr:colOff>
      <xdr:row>12</xdr:row>
      <xdr:rowOff>9525</xdr:rowOff>
    </xdr:from>
    <xdr:to>
      <xdr:col>4</xdr:col>
      <xdr:colOff>6350</xdr:colOff>
      <xdr:row>12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AB8109D-1A0E-4061-97FC-7DF1760E498F}"/>
            </a:ext>
          </a:extLst>
        </xdr:cNvPr>
        <xdr:cNvCxnSpPr/>
      </xdr:nvCxnSpPr>
      <xdr:spPr>
        <a:xfrm flipH="1">
          <a:off x="1428751" y="3028950"/>
          <a:ext cx="825499" cy="952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29654</xdr:colOff>
      <xdr:row>13</xdr:row>
      <xdr:rowOff>0</xdr:rowOff>
    </xdr:from>
    <xdr:to>
      <xdr:col>4</xdr:col>
      <xdr:colOff>862853</xdr:colOff>
      <xdr:row>13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74E9F90-B517-4276-A4C8-4A43088BDD40}"/>
            </a:ext>
          </a:extLst>
        </xdr:cNvPr>
        <xdr:cNvCxnSpPr/>
      </xdr:nvCxnSpPr>
      <xdr:spPr>
        <a:xfrm flipH="1">
          <a:off x="2277554" y="3562350"/>
          <a:ext cx="814149" cy="952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14</xdr:row>
      <xdr:rowOff>0</xdr:rowOff>
    </xdr:from>
    <xdr:to>
      <xdr:col>5</xdr:col>
      <xdr:colOff>876300</xdr:colOff>
      <xdr:row>14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3A5E5EA-22CF-4221-B5B5-E1AC36BFBA3B}"/>
            </a:ext>
          </a:extLst>
        </xdr:cNvPr>
        <xdr:cNvCxnSpPr/>
      </xdr:nvCxnSpPr>
      <xdr:spPr>
        <a:xfrm flipH="1">
          <a:off x="3143251" y="4105275"/>
          <a:ext cx="800099" cy="952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13608</xdr:colOff>
      <xdr:row>15</xdr:row>
      <xdr:rowOff>0</xdr:rowOff>
    </xdr:from>
    <xdr:to>
      <xdr:col>6</xdr:col>
      <xdr:colOff>895672</xdr:colOff>
      <xdr:row>15</xdr:row>
      <xdr:rowOff>27214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86D6BD2-122F-42B6-8153-2736D1F0B720}"/>
            </a:ext>
          </a:extLst>
        </xdr:cNvPr>
        <xdr:cNvCxnSpPr/>
      </xdr:nvCxnSpPr>
      <xdr:spPr>
        <a:xfrm flipH="1">
          <a:off x="3956958" y="4648200"/>
          <a:ext cx="834439" cy="27214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22226</xdr:colOff>
      <xdr:row>12</xdr:row>
      <xdr:rowOff>19050</xdr:rowOff>
    </xdr:from>
    <xdr:to>
      <xdr:col>3</xdr:col>
      <xdr:colOff>0</xdr:colOff>
      <xdr:row>12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4F0506F-1543-4DAF-BA4E-A8F20796314E}"/>
            </a:ext>
          </a:extLst>
        </xdr:cNvPr>
        <xdr:cNvCxnSpPr/>
      </xdr:nvCxnSpPr>
      <xdr:spPr>
        <a:xfrm flipH="1">
          <a:off x="574676" y="3038475"/>
          <a:ext cx="825499" cy="952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28576</xdr:colOff>
      <xdr:row>12</xdr:row>
      <xdr:rowOff>9525</xdr:rowOff>
    </xdr:from>
    <xdr:to>
      <xdr:col>3</xdr:col>
      <xdr:colOff>6350</xdr:colOff>
      <xdr:row>12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3433C6A-4699-4A67-B918-F41B72A7EFA1}"/>
            </a:ext>
          </a:extLst>
        </xdr:cNvPr>
        <xdr:cNvCxnSpPr/>
      </xdr:nvCxnSpPr>
      <xdr:spPr>
        <a:xfrm flipH="1">
          <a:off x="581026" y="3028950"/>
          <a:ext cx="825499" cy="9525"/>
        </a:xfrm>
        <a:prstGeom prst="line">
          <a:avLst/>
        </a:prstGeom>
        <a:ln w="571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A99B-B74F-4178-A95D-39BC197B37EA}">
  <dimension ref="A2:K21"/>
  <sheetViews>
    <sheetView topLeftCell="A10" zoomScale="85" zoomScaleNormal="85" workbookViewId="0">
      <selection activeCell="C15" sqref="C15"/>
    </sheetView>
  </sheetViews>
  <sheetFormatPr defaultColWidth="9.140625" defaultRowHeight="15" x14ac:dyDescent="0.25"/>
  <cols>
    <col min="1" max="1" width="4.7109375" style="160" customWidth="1"/>
    <col min="2" max="2" width="3.5703125" style="160" customWidth="1"/>
    <col min="3" max="7" width="12.7109375" style="160" customWidth="1"/>
    <col min="8" max="8" width="13.28515625" style="160" customWidth="1"/>
    <col min="9" max="9" width="9.140625" style="160"/>
    <col min="10" max="10" width="15.42578125" style="160" customWidth="1"/>
    <col min="11" max="11" width="9.140625" style="160"/>
    <col min="12" max="12" width="5.7109375" style="160" customWidth="1"/>
    <col min="13" max="13" width="4.85546875" style="160" customWidth="1"/>
    <col min="14" max="16384" width="9.140625" style="160"/>
  </cols>
  <sheetData>
    <row r="2" spans="1:11" x14ac:dyDescent="0.25">
      <c r="J2" s="226" t="s">
        <v>31</v>
      </c>
      <c r="K2" s="226"/>
    </row>
    <row r="3" spans="1:11" x14ac:dyDescent="0.25">
      <c r="J3" s="161" t="s">
        <v>31</v>
      </c>
      <c r="K3" s="161" t="s">
        <v>127</v>
      </c>
    </row>
    <row r="4" spans="1:11" x14ac:dyDescent="0.25">
      <c r="J4" s="162" t="s">
        <v>71</v>
      </c>
      <c r="K4" s="163" t="s">
        <v>128</v>
      </c>
    </row>
    <row r="5" spans="1:11" x14ac:dyDescent="0.25">
      <c r="J5" s="162" t="s">
        <v>72</v>
      </c>
      <c r="K5" s="164" t="s">
        <v>129</v>
      </c>
    </row>
    <row r="6" spans="1:11" x14ac:dyDescent="0.25">
      <c r="J6" s="162" t="s">
        <v>73</v>
      </c>
      <c r="K6" s="165" t="s">
        <v>130</v>
      </c>
    </row>
    <row r="7" spans="1:11" x14ac:dyDescent="0.25">
      <c r="J7" s="162" t="s">
        <v>74</v>
      </c>
      <c r="K7" s="166" t="s">
        <v>131</v>
      </c>
    </row>
    <row r="8" spans="1:11" x14ac:dyDescent="0.25">
      <c r="J8" s="162" t="s">
        <v>75</v>
      </c>
      <c r="K8" s="167" t="s">
        <v>132</v>
      </c>
    </row>
    <row r="10" spans="1:11" ht="30" customHeight="1" x14ac:dyDescent="0.25"/>
    <row r="11" spans="1:11" ht="30" customHeight="1" x14ac:dyDescent="0.25"/>
    <row r="12" spans="1:11" ht="42.75" customHeight="1" x14ac:dyDescent="0.25">
      <c r="A12" s="227" t="s">
        <v>76</v>
      </c>
      <c r="B12" s="168">
        <v>5</v>
      </c>
      <c r="C12" s="169"/>
      <c r="D12" s="169"/>
      <c r="E12" s="170"/>
      <c r="F12" s="171"/>
      <c r="G12" s="171"/>
    </row>
    <row r="13" spans="1:11" ht="42.75" customHeight="1" x14ac:dyDescent="0.25">
      <c r="A13" s="227"/>
      <c r="B13" s="168">
        <v>4</v>
      </c>
      <c r="C13" s="172"/>
      <c r="D13" s="172"/>
      <c r="E13" s="170"/>
      <c r="F13" s="169"/>
      <c r="G13" s="171"/>
    </row>
    <row r="14" spans="1:11" ht="42.75" customHeight="1" x14ac:dyDescent="0.25">
      <c r="A14" s="227"/>
      <c r="B14" s="168">
        <v>3</v>
      </c>
      <c r="C14" s="173"/>
      <c r="D14" s="172"/>
      <c r="E14" s="172"/>
      <c r="F14" s="169"/>
      <c r="G14" s="169"/>
    </row>
    <row r="15" spans="1:11" ht="42.75" customHeight="1" x14ac:dyDescent="0.25">
      <c r="A15" s="227"/>
      <c r="B15" s="168">
        <v>2</v>
      </c>
      <c r="C15" s="174"/>
      <c r="D15" s="173"/>
      <c r="E15" s="172"/>
      <c r="F15" s="172"/>
      <c r="G15" s="169"/>
    </row>
    <row r="16" spans="1:11" ht="42.75" customHeight="1" x14ac:dyDescent="0.25">
      <c r="A16" s="227"/>
      <c r="B16" s="168">
        <v>1</v>
      </c>
      <c r="C16" s="174"/>
      <c r="D16" s="174"/>
      <c r="E16" s="173"/>
      <c r="F16" s="173"/>
      <c r="G16" s="172"/>
    </row>
    <row r="17" spans="2:7" ht="18.75" x14ac:dyDescent="0.3">
      <c r="B17" s="175"/>
      <c r="C17" s="168">
        <v>1</v>
      </c>
      <c r="D17" s="168">
        <v>2</v>
      </c>
      <c r="E17" s="168">
        <v>3</v>
      </c>
      <c r="F17" s="168">
        <v>4</v>
      </c>
      <c r="G17" s="168">
        <v>5</v>
      </c>
    </row>
    <row r="18" spans="2:7" ht="28.5" x14ac:dyDescent="0.3">
      <c r="B18" s="175"/>
      <c r="C18" s="228" t="s">
        <v>96</v>
      </c>
      <c r="D18" s="228"/>
      <c r="E18" s="228"/>
      <c r="F18" s="228"/>
      <c r="G18" s="228"/>
    </row>
    <row r="21" spans="2:7" ht="15.75" x14ac:dyDescent="0.25">
      <c r="D21" s="66"/>
      <c r="E21" s="66"/>
      <c r="F21" s="66"/>
    </row>
  </sheetData>
  <mergeCells count="3">
    <mergeCell ref="J2:K2"/>
    <mergeCell ref="A12:A16"/>
    <mergeCell ref="C18:G1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="85" zoomScaleNormal="85" workbookViewId="0">
      <selection activeCell="N30" sqref="N30"/>
    </sheetView>
  </sheetViews>
  <sheetFormatPr defaultRowHeight="15" x14ac:dyDescent="0.25"/>
  <cols>
    <col min="1" max="1" width="8.7109375" customWidth="1"/>
    <col min="2" max="2" width="16.85546875" customWidth="1"/>
    <col min="3" max="3" width="1.7109375" bestFit="1" customWidth="1"/>
    <col min="4" max="4" width="33.42578125" customWidth="1"/>
    <col min="5" max="5" width="19.28515625" customWidth="1"/>
  </cols>
  <sheetData>
    <row r="1" spans="1:5" ht="23.25" x14ac:dyDescent="0.35">
      <c r="A1" s="238" t="s">
        <v>25</v>
      </c>
      <c r="B1" s="238"/>
      <c r="C1" s="238"/>
      <c r="D1" s="238"/>
      <c r="E1" s="238"/>
    </row>
    <row r="2" spans="1:5" ht="15.75" x14ac:dyDescent="0.25">
      <c r="A2" s="237" t="s">
        <v>0</v>
      </c>
      <c r="B2" s="237" t="s">
        <v>1</v>
      </c>
      <c r="C2" s="237" t="s">
        <v>4</v>
      </c>
      <c r="D2" s="237"/>
      <c r="E2" s="237"/>
    </row>
    <row r="3" spans="1:5" ht="47.25" x14ac:dyDescent="0.25">
      <c r="A3" s="237"/>
      <c r="B3" s="237"/>
      <c r="C3" s="240" t="s">
        <v>3</v>
      </c>
      <c r="D3" s="240"/>
      <c r="E3" s="40" t="s">
        <v>2</v>
      </c>
    </row>
    <row r="4" spans="1:5" x14ac:dyDescent="0.25">
      <c r="A4" s="241">
        <v>5</v>
      </c>
      <c r="B4" s="242" t="s">
        <v>9</v>
      </c>
      <c r="C4" s="50" t="s">
        <v>11</v>
      </c>
      <c r="D4" s="45" t="s">
        <v>12</v>
      </c>
      <c r="E4" s="243" t="s">
        <v>13</v>
      </c>
    </row>
    <row r="5" spans="1:5" ht="30" x14ac:dyDescent="0.25">
      <c r="A5" s="241"/>
      <c r="B5" s="242"/>
      <c r="C5" s="58" t="s">
        <v>11</v>
      </c>
      <c r="D5" s="46" t="s">
        <v>10</v>
      </c>
      <c r="E5" s="243"/>
    </row>
    <row r="6" spans="1:5" x14ac:dyDescent="0.25">
      <c r="A6" s="236">
        <v>4</v>
      </c>
      <c r="B6" s="235" t="s">
        <v>5</v>
      </c>
      <c r="C6" s="51" t="s">
        <v>11</v>
      </c>
      <c r="D6" s="47" t="s">
        <v>14</v>
      </c>
      <c r="E6" s="232" t="s">
        <v>16</v>
      </c>
    </row>
    <row r="7" spans="1:5" ht="45" x14ac:dyDescent="0.25">
      <c r="A7" s="236"/>
      <c r="B7" s="235"/>
      <c r="C7" s="59" t="s">
        <v>11</v>
      </c>
      <c r="D7" s="54" t="s">
        <v>15</v>
      </c>
      <c r="E7" s="232"/>
    </row>
    <row r="8" spans="1:5" x14ac:dyDescent="0.25">
      <c r="A8" s="239">
        <v>3</v>
      </c>
      <c r="B8" s="230" t="s">
        <v>6</v>
      </c>
      <c r="C8" s="52" t="s">
        <v>11</v>
      </c>
      <c r="D8" s="48" t="s">
        <v>20</v>
      </c>
      <c r="E8" s="233" t="s">
        <v>17</v>
      </c>
    </row>
    <row r="9" spans="1:5" ht="30" x14ac:dyDescent="0.25">
      <c r="A9" s="239"/>
      <c r="B9" s="230"/>
      <c r="C9" s="60" t="s">
        <v>11</v>
      </c>
      <c r="D9" s="55" t="s">
        <v>21</v>
      </c>
      <c r="E9" s="233"/>
    </row>
    <row r="10" spans="1:5" x14ac:dyDescent="0.25">
      <c r="A10" s="229">
        <v>2</v>
      </c>
      <c r="B10" s="231" t="s">
        <v>7</v>
      </c>
      <c r="C10" s="53" t="s">
        <v>11</v>
      </c>
      <c r="D10" s="49" t="s">
        <v>22</v>
      </c>
      <c r="E10" s="234" t="s">
        <v>18</v>
      </c>
    </row>
    <row r="11" spans="1:5" ht="30" x14ac:dyDescent="0.25">
      <c r="A11" s="229"/>
      <c r="B11" s="231"/>
      <c r="C11" s="61" t="s">
        <v>11</v>
      </c>
      <c r="D11" s="56" t="s">
        <v>23</v>
      </c>
      <c r="E11" s="234"/>
    </row>
    <row r="12" spans="1:5" ht="45" x14ac:dyDescent="0.25">
      <c r="A12" s="41">
        <v>1</v>
      </c>
      <c r="B12" s="42" t="s">
        <v>8</v>
      </c>
      <c r="C12" s="43" t="s">
        <v>11</v>
      </c>
      <c r="D12" s="57" t="s">
        <v>24</v>
      </c>
      <c r="E12" s="44" t="s">
        <v>19</v>
      </c>
    </row>
  </sheetData>
  <mergeCells count="17">
    <mergeCell ref="C2:E2"/>
    <mergeCell ref="A1:E1"/>
    <mergeCell ref="A8:A9"/>
    <mergeCell ref="A2:A3"/>
    <mergeCell ref="B2:B3"/>
    <mergeCell ref="C3:D3"/>
    <mergeCell ref="A4:A5"/>
    <mergeCell ref="B4:B5"/>
    <mergeCell ref="E4:E5"/>
    <mergeCell ref="A10:A11"/>
    <mergeCell ref="B8:B9"/>
    <mergeCell ref="B10:B11"/>
    <mergeCell ref="E6:E7"/>
    <mergeCell ref="E8:E9"/>
    <mergeCell ref="E10:E11"/>
    <mergeCell ref="B6:B7"/>
    <mergeCell ref="A6:A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8FB6-0AA0-4470-A221-75731AB3B2E8}">
  <dimension ref="A1:J29"/>
  <sheetViews>
    <sheetView zoomScale="120" zoomScaleNormal="120" workbookViewId="0">
      <selection activeCell="C8" sqref="C8"/>
    </sheetView>
  </sheetViews>
  <sheetFormatPr defaultRowHeight="15" x14ac:dyDescent="0.25"/>
  <cols>
    <col min="1" max="1" width="10" customWidth="1"/>
    <col min="2" max="2" width="11.5703125" customWidth="1"/>
    <col min="3" max="3" width="14.140625" customWidth="1"/>
    <col min="4" max="4" width="14.28515625" customWidth="1"/>
    <col min="5" max="5" width="13.7109375" customWidth="1"/>
    <col min="6" max="6" width="14.28515625" customWidth="1"/>
    <col min="7" max="7" width="15.42578125" customWidth="1"/>
    <col min="8" max="8" width="14.42578125" customWidth="1"/>
    <col min="9" max="9" width="9.5703125" customWidth="1"/>
    <col min="10" max="10" width="16.7109375" customWidth="1"/>
  </cols>
  <sheetData>
    <row r="1" spans="1:10" ht="23.25" x14ac:dyDescent="0.35">
      <c r="A1" s="238" t="s">
        <v>26</v>
      </c>
      <c r="B1" s="238"/>
      <c r="C1" s="238"/>
      <c r="D1" s="238"/>
      <c r="E1" s="238"/>
    </row>
    <row r="5" spans="1:10" x14ac:dyDescent="0.25">
      <c r="A5" s="244" t="s">
        <v>36</v>
      </c>
      <c r="B5" s="244"/>
      <c r="C5" s="244"/>
      <c r="D5" s="244"/>
      <c r="E5" s="244"/>
      <c r="F5" s="244"/>
      <c r="G5" s="244"/>
      <c r="H5" s="244"/>
      <c r="I5" s="244"/>
      <c r="J5" s="27"/>
    </row>
    <row r="6" spans="1:10" ht="20.25" customHeight="1" x14ac:dyDescent="0.25">
      <c r="A6" s="245" t="s">
        <v>37</v>
      </c>
      <c r="B6" s="245" t="s">
        <v>38</v>
      </c>
      <c r="C6" s="245" t="s">
        <v>39</v>
      </c>
      <c r="D6" s="245" t="s">
        <v>40</v>
      </c>
      <c r="E6" s="245" t="s">
        <v>41</v>
      </c>
      <c r="F6" s="245" t="s">
        <v>42</v>
      </c>
      <c r="G6" s="245" t="s">
        <v>43</v>
      </c>
      <c r="H6" s="245" t="s">
        <v>44</v>
      </c>
      <c r="I6" s="245" t="s">
        <v>45</v>
      </c>
      <c r="J6" s="246"/>
    </row>
    <row r="7" spans="1:10" x14ac:dyDescent="0.25">
      <c r="A7" s="245"/>
      <c r="B7" s="245"/>
      <c r="C7" s="245"/>
      <c r="D7" s="245"/>
      <c r="E7" s="245"/>
      <c r="F7" s="245"/>
      <c r="G7" s="245"/>
      <c r="H7" s="245"/>
      <c r="I7" s="245"/>
      <c r="J7" s="246"/>
    </row>
    <row r="8" spans="1:10" ht="134.25" customHeight="1" x14ac:dyDescent="0.25">
      <c r="A8" s="30">
        <v>5</v>
      </c>
      <c r="B8" s="155" t="s">
        <v>319</v>
      </c>
      <c r="C8" s="31" t="s">
        <v>125</v>
      </c>
      <c r="D8" s="31" t="s">
        <v>124</v>
      </c>
      <c r="E8" s="31" t="s">
        <v>121</v>
      </c>
      <c r="F8" s="31" t="s">
        <v>46</v>
      </c>
      <c r="G8" s="31" t="s">
        <v>47</v>
      </c>
      <c r="H8" s="31" t="s">
        <v>48</v>
      </c>
      <c r="I8" s="31" t="s">
        <v>49</v>
      </c>
      <c r="J8" s="28"/>
    </row>
    <row r="9" spans="1:10" ht="144" x14ac:dyDescent="0.25">
      <c r="A9" s="32">
        <v>4</v>
      </c>
      <c r="B9" s="156" t="s">
        <v>320</v>
      </c>
      <c r="C9" s="33" t="s">
        <v>50</v>
      </c>
      <c r="D9" s="33" t="s">
        <v>119</v>
      </c>
      <c r="E9" s="33" t="s">
        <v>123</v>
      </c>
      <c r="F9" s="33" t="s">
        <v>51</v>
      </c>
      <c r="G9" s="33" t="s">
        <v>52</v>
      </c>
      <c r="H9" s="33" t="s">
        <v>53</v>
      </c>
      <c r="I9" s="33" t="s">
        <v>54</v>
      </c>
      <c r="J9" s="28"/>
    </row>
    <row r="10" spans="1:10" ht="144" x14ac:dyDescent="0.25">
      <c r="A10" s="34">
        <v>3</v>
      </c>
      <c r="B10" s="157" t="s">
        <v>321</v>
      </c>
      <c r="C10" s="35" t="s">
        <v>55</v>
      </c>
      <c r="D10" s="35" t="s">
        <v>118</v>
      </c>
      <c r="E10" s="35" t="s">
        <v>122</v>
      </c>
      <c r="F10" s="35" t="s">
        <v>56</v>
      </c>
      <c r="G10" s="35" t="s">
        <v>57</v>
      </c>
      <c r="H10" s="35" t="s">
        <v>58</v>
      </c>
      <c r="I10" s="35" t="s">
        <v>59</v>
      </c>
      <c r="J10" s="29"/>
    </row>
    <row r="11" spans="1:10" ht="96" x14ac:dyDescent="0.25">
      <c r="A11" s="36">
        <v>2</v>
      </c>
      <c r="B11" s="158" t="s">
        <v>322</v>
      </c>
      <c r="C11" s="37" t="s">
        <v>60</v>
      </c>
      <c r="D11" s="37" t="s">
        <v>117</v>
      </c>
      <c r="E11" s="37" t="s">
        <v>120</v>
      </c>
      <c r="F11" s="37" t="s">
        <v>61</v>
      </c>
      <c r="G11" s="37" t="s">
        <v>62</v>
      </c>
      <c r="H11" s="37" t="s">
        <v>63</v>
      </c>
      <c r="I11" s="37" t="s">
        <v>64</v>
      </c>
      <c r="J11" s="29"/>
    </row>
    <row r="12" spans="1:10" ht="120" x14ac:dyDescent="0.25">
      <c r="A12" s="38">
        <v>1</v>
      </c>
      <c r="B12" s="159" t="s">
        <v>323</v>
      </c>
      <c r="C12" s="39" t="s">
        <v>65</v>
      </c>
      <c r="D12" s="39" t="s">
        <v>66</v>
      </c>
      <c r="E12" s="39" t="s">
        <v>126</v>
      </c>
      <c r="F12" s="39" t="s">
        <v>67</v>
      </c>
      <c r="G12" s="39" t="s">
        <v>68</v>
      </c>
      <c r="H12" s="39" t="s">
        <v>69</v>
      </c>
      <c r="I12" s="39" t="s">
        <v>70</v>
      </c>
      <c r="J12" s="29"/>
    </row>
    <row r="18" spans="2:3" x14ac:dyDescent="0.25">
      <c r="B18" t="s">
        <v>105</v>
      </c>
    </row>
    <row r="19" spans="2:3" x14ac:dyDescent="0.25">
      <c r="B19" s="247" t="s">
        <v>0</v>
      </c>
      <c r="C19" s="247" t="s">
        <v>1</v>
      </c>
    </row>
    <row r="20" spans="2:3" x14ac:dyDescent="0.25">
      <c r="B20" s="247"/>
      <c r="C20" s="247"/>
    </row>
    <row r="21" spans="2:3" x14ac:dyDescent="0.25">
      <c r="B21" s="248">
        <v>5</v>
      </c>
      <c r="C21" s="249" t="s">
        <v>101</v>
      </c>
    </row>
    <row r="22" spans="2:3" x14ac:dyDescent="0.25">
      <c r="B22" s="248"/>
      <c r="C22" s="249"/>
    </row>
    <row r="23" spans="2:3" x14ac:dyDescent="0.25">
      <c r="B23" s="248">
        <v>4</v>
      </c>
      <c r="C23" s="249" t="s">
        <v>100</v>
      </c>
    </row>
    <row r="24" spans="2:3" x14ac:dyDescent="0.25">
      <c r="B24" s="248"/>
      <c r="C24" s="249"/>
    </row>
    <row r="25" spans="2:3" x14ac:dyDescent="0.25">
      <c r="B25" s="248">
        <v>3</v>
      </c>
      <c r="C25" s="249" t="s">
        <v>99</v>
      </c>
    </row>
    <row r="26" spans="2:3" x14ac:dyDescent="0.25">
      <c r="B26" s="248"/>
      <c r="C26" s="249"/>
    </row>
    <row r="27" spans="2:3" x14ac:dyDescent="0.25">
      <c r="B27" s="248">
        <v>2</v>
      </c>
      <c r="C27" s="249" t="s">
        <v>98</v>
      </c>
    </row>
    <row r="28" spans="2:3" x14ac:dyDescent="0.25">
      <c r="B28" s="248"/>
      <c r="C28" s="249"/>
    </row>
    <row r="29" spans="2:3" ht="30" x14ac:dyDescent="0.25">
      <c r="B29" s="7">
        <v>1</v>
      </c>
      <c r="C29" s="8" t="s">
        <v>97</v>
      </c>
    </row>
  </sheetData>
  <mergeCells count="22">
    <mergeCell ref="B23:B24"/>
    <mergeCell ref="C23:C24"/>
    <mergeCell ref="B25:B26"/>
    <mergeCell ref="C25:C26"/>
    <mergeCell ref="B27:B28"/>
    <mergeCell ref="C27:C28"/>
    <mergeCell ref="J6:J7"/>
    <mergeCell ref="B19:B20"/>
    <mergeCell ref="C19:C20"/>
    <mergeCell ref="B21:B22"/>
    <mergeCell ref="C21:C22"/>
    <mergeCell ref="A1:E1"/>
    <mergeCell ref="A5:I5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70"/>
  <sheetViews>
    <sheetView topLeftCell="A7" zoomScale="115" zoomScaleNormal="115" workbookViewId="0">
      <pane ySplit="2" topLeftCell="A40" activePane="bottomLeft" state="frozen"/>
      <selection activeCell="A7" sqref="A7"/>
      <selection pane="bottomLeft" activeCell="F43" sqref="F43"/>
    </sheetView>
  </sheetViews>
  <sheetFormatPr defaultRowHeight="15" x14ac:dyDescent="0.25"/>
  <cols>
    <col min="1" max="1" width="5.85546875" style="12" customWidth="1"/>
    <col min="2" max="2" width="19.5703125" customWidth="1"/>
    <col min="3" max="3" width="13" customWidth="1"/>
    <col min="4" max="5" width="13.7109375" customWidth="1"/>
    <col min="6" max="6" width="10.7109375" style="12" customWidth="1"/>
    <col min="7" max="7" width="14.28515625" customWidth="1"/>
    <col min="8" max="8" width="10.28515625" customWidth="1"/>
    <col min="16" max="19" width="8.5703125" customWidth="1"/>
  </cols>
  <sheetData>
    <row r="2" spans="1:19" x14ac:dyDescent="0.25">
      <c r="C2" s="250" t="s">
        <v>109</v>
      </c>
      <c r="D2" s="250"/>
      <c r="E2" s="250"/>
      <c r="F2" s="250"/>
      <c r="G2" s="250"/>
      <c r="H2" s="250"/>
    </row>
    <row r="4" spans="1:19" x14ac:dyDescent="0.25">
      <c r="A4" s="251" t="s">
        <v>110</v>
      </c>
      <c r="B4" s="251"/>
      <c r="C4" s="24"/>
      <c r="D4" s="24"/>
    </row>
    <row r="5" spans="1:19" ht="14.25" customHeight="1" x14ac:dyDescent="0.25">
      <c r="A5" s="251" t="s">
        <v>111</v>
      </c>
      <c r="B5" s="251"/>
      <c r="C5" s="24"/>
      <c r="D5" s="24"/>
    </row>
    <row r="6" spans="1:19" x14ac:dyDescent="0.25">
      <c r="A6" s="252" t="s">
        <v>112</v>
      </c>
      <c r="B6" s="252"/>
      <c r="C6" s="25"/>
      <c r="D6" s="25"/>
    </row>
    <row r="7" spans="1:19" x14ac:dyDescent="0.25">
      <c r="A7" s="256" t="s">
        <v>27</v>
      </c>
      <c r="B7" s="256" t="s">
        <v>35</v>
      </c>
      <c r="C7" s="256" t="s">
        <v>29</v>
      </c>
      <c r="D7" s="256" t="s">
        <v>28</v>
      </c>
      <c r="E7" s="256" t="s">
        <v>30</v>
      </c>
      <c r="F7" s="256"/>
      <c r="G7" s="256" t="s">
        <v>76</v>
      </c>
      <c r="H7" s="257" t="s">
        <v>108</v>
      </c>
      <c r="I7" s="258"/>
      <c r="J7" s="258"/>
      <c r="K7" s="259"/>
      <c r="L7" s="254" t="s">
        <v>32</v>
      </c>
    </row>
    <row r="8" spans="1:19" ht="33.75" x14ac:dyDescent="0.25">
      <c r="A8" s="256"/>
      <c r="B8" s="256"/>
      <c r="C8" s="256"/>
      <c r="D8" s="256"/>
      <c r="E8" s="99" t="s">
        <v>34</v>
      </c>
      <c r="F8" s="100" t="s">
        <v>104</v>
      </c>
      <c r="G8" s="256"/>
      <c r="H8" s="99" t="s">
        <v>96</v>
      </c>
      <c r="I8" s="99" t="s">
        <v>76</v>
      </c>
      <c r="J8" s="99" t="s">
        <v>103</v>
      </c>
      <c r="K8" s="99" t="s">
        <v>31</v>
      </c>
      <c r="L8" s="255"/>
    </row>
    <row r="9" spans="1:19" x14ac:dyDescent="0.25">
      <c r="A9" s="5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91</v>
      </c>
      <c r="L9" s="4" t="s">
        <v>92</v>
      </c>
      <c r="P9" s="253" t="s">
        <v>106</v>
      </c>
      <c r="Q9" s="253"/>
      <c r="R9" s="253"/>
      <c r="S9" s="253"/>
    </row>
    <row r="10" spans="1:19" ht="45" x14ac:dyDescent="0.25">
      <c r="A10" s="3"/>
      <c r="B10" s="11"/>
      <c r="C10" s="11"/>
      <c r="D10" s="11"/>
      <c r="E10" s="11"/>
      <c r="F10" s="3"/>
      <c r="G10" s="11"/>
      <c r="H10" s="6"/>
      <c r="I10" s="6"/>
      <c r="J10" s="6">
        <f>H10*I10</f>
      </c>
      <c r="K10" s="6"/>
      <c r="L10" s="10"/>
      <c r="P10" s="18"/>
      <c r="Q10" s="19"/>
      <c r="R10" s="13"/>
      <c r="S10" s="13"/>
    </row>
    <row r="11" spans="1:19" ht="67.5" x14ac:dyDescent="0.25">
      <c r="A11" s="3"/>
      <c r="B11" s="11"/>
      <c r="C11" s="11"/>
      <c r="D11" s="11"/>
      <c r="E11" s="11"/>
      <c r="F11" s="6"/>
      <c r="G11" s="11"/>
      <c r="H11" s="6"/>
      <c r="I11" s="6"/>
      <c r="J11" s="6"/>
      <c r="K11" s="6"/>
      <c r="L11" s="10"/>
      <c r="P11" s="21"/>
      <c r="Q11" s="14"/>
      <c r="R11" s="1">
        <f>P11*Q11</f>
      </c>
      <c r="S11" s="16"/>
    </row>
    <row r="12" spans="1:19" ht="56.25" x14ac:dyDescent="0.25">
      <c r="A12" s="3"/>
      <c r="B12" s="11"/>
      <c r="C12" s="26"/>
      <c r="D12" s="11"/>
      <c r="E12" s="11"/>
      <c r="F12" s="6"/>
      <c r="G12" s="11"/>
      <c r="H12" s="6"/>
      <c r="I12" s="6"/>
      <c r="J12" s="6"/>
      <c r="K12" s="6"/>
      <c r="L12" s="10"/>
      <c r="P12" s="21"/>
      <c r="Q12" s="14"/>
      <c r="R12" s="1">
        <f t="shared" ref="R12:R62" si="0">P12*Q12</f>
      </c>
      <c r="S12" s="16"/>
    </row>
    <row r="13" spans="1:19" s="67" customFormat="1" ht="45" x14ac:dyDescent="0.25">
      <c r="A13" s="3"/>
      <c r="B13" s="11"/>
      <c r="C13" s="26"/>
      <c r="D13" s="11"/>
      <c r="E13" s="148"/>
      <c r="F13" s="149"/>
      <c r="G13" s="11"/>
      <c r="H13" s="6"/>
      <c r="I13" s="6"/>
      <c r="J13" s="6"/>
      <c r="K13" s="6"/>
      <c r="L13" s="10"/>
      <c r="P13" s="68"/>
      <c r="Q13" s="69"/>
      <c r="R13" s="70"/>
      <c r="S13" s="71"/>
    </row>
    <row r="14" spans="1:19" s="67" customFormat="1" ht="33.75" x14ac:dyDescent="0.25">
      <c r="A14" s="3"/>
      <c r="B14" s="11"/>
      <c r="C14" s="26"/>
      <c r="D14" s="11"/>
      <c r="E14" s="11"/>
      <c r="F14" s="6"/>
      <c r="G14" s="148"/>
      <c r="H14" s="6"/>
      <c r="I14" s="6"/>
      <c r="J14" s="6"/>
      <c r="K14" s="6"/>
      <c r="L14" s="10"/>
      <c r="P14" s="68"/>
      <c r="Q14" s="69"/>
      <c r="R14" s="70"/>
      <c r="S14" s="71"/>
    </row>
    <row r="15" spans="1:19" ht="15.75" customHeight="1" x14ac:dyDescent="0.25">
      <c r="A15" s="101"/>
      <c r="B15" s="102"/>
      <c r="C15" s="102"/>
      <c r="D15" s="102"/>
      <c r="E15" s="102"/>
      <c r="F15" s="101"/>
      <c r="G15" s="102"/>
      <c r="H15" s="103"/>
      <c r="I15" s="103"/>
      <c r="J15" s="103"/>
      <c r="K15" s="103"/>
      <c r="L15" s="104"/>
      <c r="P15" s="21"/>
      <c r="Q15" s="14"/>
      <c r="R15" s="1">
        <f t="shared" si="0"/>
      </c>
      <c r="S15" s="16"/>
    </row>
    <row r="16" spans="1:19" ht="56.25" x14ac:dyDescent="0.25">
      <c r="A16" s="3"/>
      <c r="B16" s="11"/>
      <c r="C16" s="11"/>
      <c r="D16" s="11"/>
      <c r="E16" s="11"/>
      <c r="F16" s="6"/>
      <c r="G16" s="11"/>
      <c r="H16" s="6"/>
      <c r="I16" s="6"/>
      <c r="J16" s="6">
        <f>H16*I16</f>
      </c>
      <c r="K16" s="6"/>
      <c r="L16" s="10"/>
      <c r="P16" s="21"/>
      <c r="Q16" s="14"/>
      <c r="R16" s="1">
        <f t="shared" si="0"/>
      </c>
      <c r="S16" s="16"/>
    </row>
    <row r="17" spans="1:19" ht="45" x14ac:dyDescent="0.25">
      <c r="A17" s="3"/>
      <c r="B17" s="11"/>
      <c r="C17" s="26"/>
      <c r="D17" s="11"/>
      <c r="E17" s="11"/>
      <c r="F17" s="6"/>
      <c r="G17" s="11"/>
      <c r="H17" s="6"/>
      <c r="I17" s="6"/>
      <c r="J17" s="6"/>
      <c r="K17" s="6"/>
      <c r="L17" s="10"/>
      <c r="P17" s="21"/>
      <c r="Q17" s="15"/>
      <c r="R17" s="1">
        <f t="shared" si="0"/>
      </c>
      <c r="S17" s="16"/>
    </row>
    <row r="18" spans="1:19" ht="45" x14ac:dyDescent="0.25">
      <c r="A18" s="3"/>
      <c r="B18" s="11"/>
      <c r="C18" s="26"/>
      <c r="D18" s="11"/>
      <c r="E18" s="148"/>
      <c r="F18" s="6"/>
      <c r="G18" s="11"/>
      <c r="H18" s="6"/>
      <c r="I18" s="6"/>
      <c r="J18" s="6"/>
      <c r="K18" s="6"/>
      <c r="L18" s="10"/>
      <c r="P18" s="21"/>
      <c r="Q18" s="15"/>
      <c r="R18" s="1"/>
      <c r="S18" s="16"/>
    </row>
    <row r="19" spans="1:19" ht="69.75" customHeight="1" x14ac:dyDescent="0.25">
      <c r="A19" s="3"/>
      <c r="B19" s="11"/>
      <c r="C19" s="26"/>
      <c r="D19" s="11"/>
      <c r="E19" s="148"/>
      <c r="F19" s="6"/>
      <c r="G19" s="11"/>
      <c r="H19" s="6"/>
      <c r="I19" s="6"/>
      <c r="J19" s="6"/>
      <c r="K19" s="6"/>
      <c r="L19" s="10"/>
      <c r="P19" s="20"/>
      <c r="Q19" s="15"/>
      <c r="R19" s="1">
        <f t="shared" si="0"/>
      </c>
    </row>
    <row r="20" spans="1:19" ht="42.75" customHeight="1" x14ac:dyDescent="0.25">
      <c r="A20" s="3"/>
      <c r="B20" s="11"/>
      <c r="C20" s="26"/>
      <c r="D20" s="11"/>
      <c r="E20" s="11"/>
      <c r="F20" s="6"/>
      <c r="G20" s="11"/>
      <c r="H20" s="6"/>
      <c r="I20" s="6"/>
      <c r="J20" s="6"/>
      <c r="K20" s="6"/>
      <c r="L20" s="10"/>
      <c r="P20" s="22"/>
      <c r="Q20" s="17"/>
      <c r="R20" s="1">
        <f t="shared" si="0"/>
      </c>
    </row>
    <row r="21" spans="1:19" ht="45" x14ac:dyDescent="0.25">
      <c r="A21" s="3"/>
      <c r="B21" s="11"/>
      <c r="C21" s="26"/>
      <c r="D21" s="11"/>
      <c r="E21" s="11"/>
      <c r="F21" s="6"/>
      <c r="G21" s="11"/>
      <c r="H21" s="6"/>
      <c r="I21" s="6"/>
      <c r="J21" s="6"/>
      <c r="K21" s="6"/>
      <c r="L21" s="10"/>
      <c r="P21" s="22"/>
      <c r="Q21" s="17"/>
      <c r="R21" s="1"/>
    </row>
    <row r="22" spans="1:19" x14ac:dyDescent="0.25">
      <c r="A22" s="101"/>
      <c r="B22" s="102"/>
      <c r="C22" s="105"/>
      <c r="D22" s="102"/>
      <c r="E22" s="102"/>
      <c r="F22" s="103"/>
      <c r="G22" s="102"/>
      <c r="H22" s="103"/>
      <c r="I22" s="103"/>
      <c r="J22" s="103"/>
      <c r="K22" s="103"/>
      <c r="L22" s="104"/>
      <c r="P22" s="22"/>
      <c r="Q22" s="17"/>
      <c r="R22" s="1"/>
    </row>
    <row r="23" spans="1:19" ht="56.25" x14ac:dyDescent="0.25">
      <c r="A23" s="3"/>
      <c r="B23" s="11"/>
      <c r="C23" s="11"/>
      <c r="D23" s="11"/>
      <c r="E23" s="11"/>
      <c r="F23" s="6"/>
      <c r="G23" s="11"/>
      <c r="H23" s="6"/>
      <c r="I23" s="6"/>
      <c r="J23" s="6">
        <f>H23*I23</f>
      </c>
      <c r="K23" s="6"/>
      <c r="L23" s="10"/>
      <c r="P23" s="22"/>
      <c r="Q23" s="17"/>
      <c r="R23" s="1"/>
    </row>
    <row r="24" spans="1:19" ht="45" x14ac:dyDescent="0.25">
      <c r="A24" s="3"/>
      <c r="B24" s="11"/>
      <c r="C24" s="11"/>
      <c r="D24" s="2"/>
      <c r="E24" s="11"/>
      <c r="F24" s="6"/>
      <c r="G24" s="11"/>
      <c r="H24" s="6"/>
      <c r="I24" s="6"/>
      <c r="J24" s="6"/>
      <c r="K24" s="6"/>
      <c r="L24" s="10"/>
      <c r="P24" s="22"/>
      <c r="Q24" s="17"/>
      <c r="R24" s="1"/>
    </row>
    <row r="25" spans="1:19" ht="45" x14ac:dyDescent="0.25">
      <c r="A25" s="3"/>
      <c r="B25" s="11"/>
      <c r="C25" s="11"/>
      <c r="D25" s="2"/>
      <c r="E25" s="11"/>
      <c r="F25" s="6"/>
      <c r="G25" s="11"/>
      <c r="H25" s="6"/>
      <c r="I25" s="6"/>
      <c r="J25" s="6"/>
      <c r="K25" s="6"/>
      <c r="L25" s="10"/>
      <c r="P25" s="22"/>
      <c r="Q25" s="17"/>
      <c r="R25" s="1"/>
    </row>
    <row r="26" spans="1:19" ht="15.75" customHeight="1" x14ac:dyDescent="0.25">
      <c r="A26" s="101"/>
      <c r="B26" s="102"/>
      <c r="C26" s="105"/>
      <c r="D26" s="102"/>
      <c r="E26" s="102"/>
      <c r="F26" s="103"/>
      <c r="G26" s="102"/>
      <c r="H26" s="103"/>
      <c r="I26" s="103"/>
      <c r="J26" s="103"/>
      <c r="K26" s="103"/>
      <c r="L26" s="104"/>
      <c r="P26" s="22"/>
      <c r="Q26" s="17"/>
      <c r="R26" s="1"/>
    </row>
    <row r="27" spans="1:19" ht="56.25" x14ac:dyDescent="0.25">
      <c r="A27" s="3"/>
      <c r="B27" s="11"/>
      <c r="C27" s="11"/>
      <c r="D27" s="11"/>
      <c r="E27" s="11"/>
      <c r="F27" s="6"/>
      <c r="G27" s="11"/>
      <c r="H27" s="6"/>
      <c r="I27" s="6"/>
      <c r="J27" s="6">
        <f>H27*I27</f>
      </c>
      <c r="K27" s="6"/>
      <c r="L27" s="10"/>
      <c r="P27" s="22"/>
      <c r="Q27" s="17"/>
      <c r="R27" s="1"/>
    </row>
    <row r="28" spans="1:19" ht="56.25" x14ac:dyDescent="0.25">
      <c r="A28" s="3"/>
      <c r="B28" s="11"/>
      <c r="C28" s="11"/>
      <c r="D28" s="11"/>
      <c r="E28" s="11"/>
      <c r="F28" s="6"/>
      <c r="G28" s="11"/>
      <c r="H28" s="6"/>
      <c r="I28" s="6"/>
      <c r="J28" s="6"/>
      <c r="K28" s="6"/>
      <c r="L28" s="10"/>
      <c r="P28" s="22"/>
      <c r="Q28" s="17"/>
      <c r="R28" s="1"/>
    </row>
    <row r="29" spans="1:19" ht="33.75" x14ac:dyDescent="0.25">
      <c r="A29" s="3"/>
      <c r="B29" s="11"/>
      <c r="C29" s="11"/>
      <c r="D29" s="11"/>
      <c r="E29" s="11"/>
      <c r="F29" s="6"/>
      <c r="G29" s="11"/>
      <c r="H29" s="6"/>
      <c r="I29" s="6"/>
      <c r="J29" s="6"/>
      <c r="K29" s="6"/>
      <c r="L29" s="10"/>
      <c r="P29" s="22"/>
      <c r="Q29" s="17"/>
      <c r="R29" s="1"/>
    </row>
    <row r="30" spans="1:19" ht="56.25" x14ac:dyDescent="0.25">
      <c r="A30" s="3"/>
      <c r="B30" s="11"/>
      <c r="C30" s="11"/>
      <c r="D30" s="11"/>
      <c r="E30" s="11"/>
      <c r="F30" s="6"/>
      <c r="G30" s="11"/>
      <c r="H30" s="6"/>
      <c r="I30" s="6"/>
      <c r="J30" s="6"/>
      <c r="K30" s="6"/>
      <c r="L30" s="10"/>
      <c r="P30" s="22"/>
      <c r="Q30" s="17"/>
      <c r="R30" s="1"/>
    </row>
    <row r="31" spans="1:19" x14ac:dyDescent="0.25">
      <c r="A31" s="101"/>
      <c r="B31" s="102"/>
      <c r="C31" s="102"/>
      <c r="D31" s="102"/>
      <c r="E31" s="102"/>
      <c r="F31" s="103"/>
      <c r="G31" s="102"/>
      <c r="H31" s="103"/>
      <c r="I31" s="103"/>
      <c r="J31" s="103"/>
      <c r="K31" s="103"/>
      <c r="L31" s="104"/>
      <c r="P31" s="22"/>
      <c r="Q31" s="17"/>
      <c r="R31" s="1">
        <f t="shared" si="0"/>
      </c>
    </row>
    <row r="32" spans="1:19" ht="57.75" customHeight="1" x14ac:dyDescent="0.25">
      <c r="A32" s="3"/>
      <c r="B32" s="11"/>
      <c r="C32" s="11"/>
      <c r="D32" s="148"/>
      <c r="E32" s="11"/>
      <c r="F32" s="3"/>
      <c r="G32" s="148"/>
      <c r="H32" s="3"/>
      <c r="I32" s="3"/>
      <c r="J32" s="3">
        <f>H32*I32</f>
      </c>
      <c r="K32" s="6"/>
      <c r="L32" s="10"/>
      <c r="P32" s="22"/>
      <c r="Q32" s="17"/>
      <c r="R32" s="1">
        <f t="shared" si="0"/>
      </c>
    </row>
    <row r="33" spans="1:18" ht="56.25" x14ac:dyDescent="0.25">
      <c r="A33" s="3"/>
      <c r="B33" s="11"/>
      <c r="C33" s="11"/>
      <c r="E33" s="11"/>
      <c r="F33" s="3"/>
      <c r="G33" s="11"/>
      <c r="H33" s="3"/>
      <c r="I33" s="3"/>
      <c r="J33" s="3"/>
      <c r="K33" s="6"/>
      <c r="L33" s="10"/>
      <c r="P33" s="22"/>
      <c r="Q33" s="17"/>
      <c r="R33" s="1"/>
    </row>
    <row r="34" spans="1:18" ht="45" x14ac:dyDescent="0.25">
      <c r="A34" s="3"/>
      <c r="B34" s="11"/>
      <c r="C34" s="11"/>
      <c r="D34" s="11"/>
      <c r="E34" s="153"/>
      <c r="F34" s="3"/>
      <c r="G34" s="11"/>
      <c r="H34" s="3"/>
      <c r="I34" s="3"/>
      <c r="J34" s="3"/>
      <c r="K34" s="6"/>
      <c r="L34" s="10"/>
      <c r="P34" s="22"/>
      <c r="Q34" s="17"/>
      <c r="R34" s="1"/>
    </row>
    <row r="35" spans="1:18" x14ac:dyDescent="0.25">
      <c r="A35" s="3"/>
      <c r="B35" s="11"/>
      <c r="C35" s="11"/>
      <c r="D35" s="11"/>
      <c r="E35" s="11"/>
      <c r="F35" s="3"/>
      <c r="G35" s="11"/>
      <c r="H35" s="3"/>
      <c r="I35" s="3"/>
      <c r="J35" s="3"/>
      <c r="K35" s="6"/>
      <c r="L35" s="10"/>
      <c r="P35" s="22"/>
      <c r="Q35" s="17"/>
      <c r="R35" s="1"/>
    </row>
    <row r="36" spans="1:18" x14ac:dyDescent="0.25">
      <c r="A36" s="101"/>
      <c r="B36" s="102"/>
      <c r="C36" s="102"/>
      <c r="D36" s="102"/>
      <c r="E36" s="102"/>
      <c r="F36" s="101"/>
      <c r="G36" s="102"/>
      <c r="H36" s="101"/>
      <c r="I36" s="101"/>
      <c r="J36" s="101"/>
      <c r="K36" s="103"/>
      <c r="L36" s="104"/>
      <c r="P36" s="22"/>
      <c r="Q36" s="17"/>
      <c r="R36" s="1"/>
    </row>
    <row r="37" spans="1:18" ht="79.5" customHeight="1" x14ac:dyDescent="0.25">
      <c r="A37" s="3"/>
      <c r="B37" s="11"/>
      <c r="C37" s="11"/>
      <c r="D37" s="11"/>
      <c r="E37" s="11"/>
      <c r="F37" s="3"/>
      <c r="G37" s="11"/>
      <c r="H37" s="3"/>
      <c r="I37" s="3"/>
      <c r="J37" s="3">
        <f>H37*I37</f>
      </c>
      <c r="K37" s="6"/>
      <c r="L37" s="10"/>
      <c r="P37" s="22"/>
      <c r="Q37" s="17"/>
      <c r="R37" s="1">
        <f t="shared" si="0"/>
      </c>
    </row>
    <row r="38" spans="1:18" ht="33.75" x14ac:dyDescent="0.25">
      <c r="A38" s="3"/>
      <c r="B38" s="11"/>
      <c r="C38" s="11"/>
      <c r="D38" s="11"/>
      <c r="E38" s="11"/>
      <c r="F38" s="3"/>
      <c r="G38" s="11"/>
      <c r="H38" s="3"/>
      <c r="I38" s="3"/>
      <c r="J38" s="3"/>
      <c r="K38" s="6"/>
      <c r="L38" s="10"/>
      <c r="P38" s="22"/>
      <c r="Q38" s="17"/>
      <c r="R38" s="1"/>
    </row>
    <row r="39" spans="1:18" ht="45" x14ac:dyDescent="0.25">
      <c r="A39" s="3"/>
      <c r="B39" s="11"/>
      <c r="C39" s="11"/>
      <c r="D39" s="11"/>
      <c r="E39" s="11"/>
      <c r="F39" s="6"/>
      <c r="G39" s="11"/>
      <c r="H39" s="6"/>
      <c r="I39" s="6"/>
      <c r="J39" s="6"/>
      <c r="K39" s="6"/>
      <c r="L39" s="10"/>
      <c r="P39" s="23"/>
      <c r="Q39" s="15"/>
      <c r="R39" s="1">
        <f t="shared" si="0"/>
      </c>
    </row>
    <row r="40" spans="1:18" x14ac:dyDescent="0.25">
      <c r="A40" s="101"/>
      <c r="B40" s="102"/>
      <c r="C40" s="102"/>
      <c r="D40" s="102"/>
      <c r="E40" s="102"/>
      <c r="F40" s="103"/>
      <c r="G40" s="102"/>
      <c r="H40" s="103"/>
      <c r="I40" s="103"/>
      <c r="J40" s="103"/>
      <c r="K40" s="103"/>
      <c r="L40" s="104"/>
      <c r="P40" s="23"/>
      <c r="Q40" s="15"/>
      <c r="R40" s="1"/>
    </row>
    <row r="41" spans="1:18" ht="54.75" customHeight="1" x14ac:dyDescent="0.25">
      <c r="A41" s="3"/>
      <c r="B41" s="11"/>
      <c r="C41" s="11"/>
      <c r="D41" s="11"/>
      <c r="E41" s="11"/>
      <c r="F41" s="6"/>
      <c r="G41" s="11"/>
      <c r="H41" s="6"/>
      <c r="I41" s="3"/>
      <c r="J41" s="3">
        <f>H41*I41</f>
      </c>
      <c r="K41" s="6"/>
      <c r="L41" s="9"/>
      <c r="P41" s="23"/>
      <c r="Q41" s="15"/>
      <c r="R41" s="1">
        <f t="shared" si="0"/>
      </c>
    </row>
    <row r="42" spans="1:18" ht="56.25" x14ac:dyDescent="0.25">
      <c r="A42" s="3"/>
      <c r="B42" s="11"/>
      <c r="C42" s="26"/>
      <c r="D42" s="11"/>
      <c r="E42" s="11"/>
      <c r="F42" s="6"/>
      <c r="G42" s="11"/>
      <c r="H42" s="3"/>
      <c r="I42" s="3"/>
      <c r="J42" s="3"/>
      <c r="K42" s="6"/>
      <c r="L42" s="9"/>
      <c r="P42" s="22"/>
      <c r="Q42" s="15"/>
      <c r="R42" s="1">
        <f t="shared" si="0"/>
      </c>
    </row>
    <row r="43" spans="1:18" ht="45" x14ac:dyDescent="0.25">
      <c r="A43" s="3"/>
      <c r="B43" s="11"/>
      <c r="C43" s="26"/>
      <c r="D43" s="11"/>
      <c r="E43" s="11"/>
      <c r="F43" s="6"/>
      <c r="G43" s="11"/>
      <c r="H43" s="3"/>
      <c r="I43" s="3"/>
      <c r="J43" s="3"/>
      <c r="K43" s="6"/>
      <c r="L43" s="9"/>
      <c r="P43" s="22"/>
      <c r="Q43" s="15"/>
      <c r="R43" s="1"/>
    </row>
    <row r="44" spans="1:18" ht="22.5" x14ac:dyDescent="0.25">
      <c r="A44" s="3"/>
      <c r="B44" s="11"/>
      <c r="C44" s="26"/>
      <c r="D44" s="11"/>
      <c r="E44" s="11"/>
      <c r="F44" s="6"/>
      <c r="G44" s="11"/>
      <c r="H44" s="3"/>
      <c r="I44" s="3"/>
      <c r="J44" s="3"/>
      <c r="K44" s="6"/>
      <c r="L44" s="9"/>
      <c r="P44" s="22"/>
      <c r="Q44" s="15"/>
      <c r="R44" s="1"/>
    </row>
    <row r="45" spans="1:18" ht="15.75" customHeight="1" x14ac:dyDescent="0.25">
      <c r="A45" s="101"/>
      <c r="B45" s="102"/>
      <c r="C45" s="102"/>
      <c r="D45" s="102"/>
      <c r="E45" s="102"/>
      <c r="F45" s="101"/>
      <c r="G45" s="102"/>
      <c r="H45" s="101"/>
      <c r="I45" s="101"/>
      <c r="J45" s="101"/>
      <c r="K45" s="101"/>
      <c r="L45" s="106"/>
      <c r="P45" s="22"/>
      <c r="Q45" s="15"/>
      <c r="R45" s="1"/>
    </row>
    <row r="46" spans="1:18" ht="57" customHeight="1" x14ac:dyDescent="0.25">
      <c r="A46" s="3"/>
      <c r="B46" s="11"/>
      <c r="C46" s="11"/>
      <c r="D46" s="148"/>
      <c r="E46" s="11"/>
      <c r="F46" s="6"/>
      <c r="G46" s="11"/>
      <c r="H46" s="3"/>
      <c r="I46" s="3"/>
      <c r="J46" s="3">
        <f>H46*I46</f>
      </c>
      <c r="K46" s="6"/>
      <c r="L46" s="9"/>
      <c r="P46" s="22"/>
      <c r="Q46" s="15"/>
      <c r="R46" s="1"/>
    </row>
    <row r="47" spans="1:18" ht="45" x14ac:dyDescent="0.25">
      <c r="A47" s="3"/>
      <c r="B47" s="11"/>
      <c r="C47" s="11"/>
      <c r="D47" s="148"/>
      <c r="E47" s="11"/>
      <c r="F47" s="6"/>
      <c r="G47" s="72"/>
      <c r="H47" s="3"/>
      <c r="I47" s="3"/>
      <c r="J47" s="3"/>
      <c r="K47" s="6"/>
      <c r="L47" s="9"/>
      <c r="P47" s="22"/>
      <c r="Q47" s="15"/>
      <c r="R47" s="1"/>
    </row>
    <row r="48" spans="1:18" ht="45" x14ac:dyDescent="0.25">
      <c r="A48" s="3"/>
      <c r="B48" s="11"/>
      <c r="C48" s="11"/>
      <c r="D48" s="11"/>
      <c r="E48" s="11"/>
      <c r="F48" s="6"/>
      <c r="G48" s="11"/>
      <c r="H48" s="3"/>
      <c r="I48" s="3"/>
      <c r="J48" s="3"/>
      <c r="K48" s="6"/>
      <c r="L48" s="9"/>
      <c r="P48" s="22"/>
      <c r="Q48" s="15"/>
      <c r="R48" s="1"/>
    </row>
    <row r="49" spans="1:18" x14ac:dyDescent="0.25">
      <c r="A49" s="101"/>
      <c r="B49" s="102"/>
      <c r="C49" s="102"/>
      <c r="D49" s="102"/>
      <c r="E49" s="102"/>
      <c r="F49" s="101"/>
      <c r="G49" s="102"/>
      <c r="H49" s="101"/>
      <c r="I49" s="101"/>
      <c r="J49" s="101"/>
      <c r="K49" s="103"/>
      <c r="L49" s="106"/>
      <c r="P49" s="22"/>
      <c r="Q49" s="15"/>
      <c r="R49" s="1">
        <f t="shared" si="0"/>
      </c>
    </row>
    <row r="50" spans="1:18" ht="54.75" customHeight="1" x14ac:dyDescent="0.25">
      <c r="A50" s="3"/>
      <c r="B50" s="11"/>
      <c r="C50" s="11"/>
      <c r="D50" s="11"/>
      <c r="E50" s="11"/>
      <c r="F50" s="6"/>
      <c r="G50" s="11"/>
      <c r="H50" s="3"/>
      <c r="I50" s="3"/>
      <c r="J50" s="3">
        <f>H50*I50</f>
      </c>
      <c r="K50" s="6"/>
      <c r="L50" s="9"/>
      <c r="P50" s="22"/>
      <c r="Q50" s="15"/>
      <c r="R50" s="1"/>
    </row>
    <row r="51" spans="1:18" ht="87" customHeight="1" x14ac:dyDescent="0.25">
      <c r="A51" s="3"/>
      <c r="B51" s="11"/>
      <c r="C51" s="11"/>
      <c r="D51" s="11"/>
      <c r="E51" s="11"/>
      <c r="F51" s="6"/>
      <c r="G51" s="11"/>
      <c r="H51" s="3"/>
      <c r="I51" s="3"/>
      <c r="J51" s="3"/>
      <c r="K51" s="6"/>
      <c r="L51" s="9"/>
      <c r="P51" s="22"/>
      <c r="Q51" s="15"/>
      <c r="R51" s="1">
        <f t="shared" si="0"/>
      </c>
    </row>
    <row r="52" spans="1:18" ht="56.25" x14ac:dyDescent="0.25">
      <c r="A52" s="3"/>
      <c r="B52" s="11"/>
      <c r="C52" s="26"/>
      <c r="D52" s="150"/>
      <c r="E52" s="82"/>
      <c r="F52" s="6"/>
      <c r="G52" s="11"/>
      <c r="H52" s="83"/>
      <c r="I52" s="3"/>
      <c r="J52" s="3"/>
      <c r="K52" s="3"/>
      <c r="L52" s="9"/>
      <c r="P52" s="23"/>
      <c r="Q52" s="15"/>
      <c r="R52" s="1">
        <f t="shared" si="0"/>
      </c>
    </row>
    <row r="53" spans="1:18" s="75" customFormat="1" x14ac:dyDescent="0.25">
      <c r="A53" s="101"/>
      <c r="B53" s="105"/>
      <c r="C53" s="105"/>
      <c r="D53" s="102"/>
      <c r="E53" s="102"/>
      <c r="F53" s="103"/>
      <c r="G53" s="107"/>
      <c r="H53" s="101"/>
      <c r="I53" s="101"/>
      <c r="J53" s="101"/>
      <c r="K53" s="101"/>
      <c r="L53" s="106"/>
      <c r="P53" s="79"/>
      <c r="Q53" s="80"/>
      <c r="R53" s="81"/>
    </row>
    <row r="54" spans="1:18" ht="67.5" x14ac:dyDescent="0.25">
      <c r="A54" s="3"/>
      <c r="B54" s="11"/>
      <c r="C54" s="11"/>
      <c r="D54" s="11"/>
      <c r="E54" s="11"/>
      <c r="F54" s="6"/>
      <c r="G54" s="10"/>
      <c r="H54" s="3"/>
      <c r="I54" s="3"/>
      <c r="J54" s="3">
        <f>H54*I54</f>
      </c>
      <c r="K54" s="6" t="str">
        <f>IF(J54&gt;=17,"Sangat Tinggi",IF(J54&gt;=10,"Tinggi",IF(J54&gt;=5,"Sedang",IF(J54&gt;=3,"Rendah","Sangat Rendah"))))</f>
      </c>
      <c r="L54" s="9"/>
      <c r="P54" s="23"/>
      <c r="Q54" s="15"/>
      <c r="R54" s="1"/>
    </row>
    <row r="55" spans="1:18" ht="45" x14ac:dyDescent="0.25">
      <c r="A55" s="3"/>
      <c r="B55" s="11"/>
      <c r="C55" s="11"/>
      <c r="D55" s="2"/>
      <c r="E55" s="11"/>
      <c r="F55" s="6"/>
      <c r="G55" s="10"/>
      <c r="H55" s="3"/>
      <c r="I55" s="3"/>
      <c r="J55" s="3"/>
      <c r="K55" s="3"/>
      <c r="L55" s="9"/>
      <c r="P55" s="23"/>
      <c r="Q55" s="15"/>
      <c r="R55" s="1"/>
    </row>
    <row r="56" spans="1:18" ht="33.75" x14ac:dyDescent="0.25">
      <c r="A56" s="3"/>
      <c r="B56" s="11"/>
      <c r="C56" s="11"/>
      <c r="D56" s="11"/>
      <c r="E56" s="11"/>
      <c r="F56" s="6"/>
      <c r="G56" s="10"/>
      <c r="H56" s="3"/>
      <c r="I56" s="3"/>
      <c r="J56" s="3"/>
      <c r="K56" s="3"/>
      <c r="L56" s="9"/>
      <c r="P56" s="23"/>
      <c r="Q56" s="15"/>
      <c r="R56" s="1"/>
    </row>
    <row r="57" spans="1:18" ht="45" x14ac:dyDescent="0.25">
      <c r="A57" s="3"/>
      <c r="B57" s="26"/>
      <c r="C57" s="11"/>
      <c r="D57" s="11"/>
      <c r="E57" s="11"/>
      <c r="F57" s="6"/>
      <c r="G57" s="11"/>
      <c r="H57" s="3"/>
      <c r="I57" s="3"/>
      <c r="J57" s="3"/>
      <c r="K57" s="3"/>
      <c r="L57" s="9"/>
      <c r="P57" s="23"/>
      <c r="Q57" s="15"/>
      <c r="R57" s="1"/>
    </row>
    <row r="58" spans="1:18" x14ac:dyDescent="0.25">
      <c r="A58" s="101"/>
      <c r="B58" s="102"/>
      <c r="C58" s="102"/>
      <c r="D58" s="102"/>
      <c r="E58" s="102"/>
      <c r="F58" s="103"/>
      <c r="G58" s="102"/>
      <c r="H58" s="103"/>
      <c r="I58" s="103"/>
      <c r="J58" s="103"/>
      <c r="K58" s="103"/>
      <c r="L58" s="106"/>
      <c r="P58" s="23"/>
      <c r="Q58" s="15"/>
      <c r="R58" s="1">
        <f t="shared" si="0"/>
      </c>
    </row>
    <row r="59" spans="1:18" s="2" customFormat="1" ht="54.75" customHeight="1" x14ac:dyDescent="0.25">
      <c r="A59" s="3"/>
      <c r="B59" s="11"/>
      <c r="C59" s="11"/>
      <c r="D59" s="84"/>
      <c r="E59" s="10"/>
      <c r="F59" s="6"/>
      <c r="G59" s="11"/>
      <c r="H59" s="6"/>
      <c r="I59" s="6"/>
      <c r="J59" s="6">
        <f t="shared" ref="J59" si="1">H59*I59</f>
      </c>
      <c r="K59" s="6"/>
      <c r="L59" s="9"/>
      <c r="P59" s="77"/>
      <c r="Q59" s="78"/>
      <c r="R59" s="74"/>
    </row>
    <row r="60" spans="1:18" s="2" customFormat="1" ht="67.5" x14ac:dyDescent="0.25">
      <c r="A60" s="3"/>
      <c r="B60" s="11"/>
      <c r="C60" s="11"/>
      <c r="D60" s="84"/>
      <c r="E60" s="10"/>
      <c r="F60" s="6"/>
      <c r="G60" s="11"/>
      <c r="H60" s="3"/>
      <c r="I60" s="3"/>
      <c r="J60" s="3"/>
      <c r="K60" s="3"/>
      <c r="L60" s="9"/>
      <c r="P60" s="77"/>
      <c r="Q60" s="78"/>
      <c r="R60" s="74"/>
    </row>
    <row r="61" spans="1:18" ht="56.25" x14ac:dyDescent="0.25">
      <c r="A61" s="76"/>
      <c r="B61" s="11"/>
      <c r="C61" s="73"/>
      <c r="D61" s="85"/>
      <c r="E61" s="73"/>
      <c r="F61" s="6"/>
      <c r="G61" s="11"/>
      <c r="H61" s="76"/>
      <c r="I61" s="76"/>
      <c r="J61" s="76"/>
      <c r="K61" s="76"/>
      <c r="L61" s="86"/>
      <c r="P61" s="23"/>
      <c r="Q61" s="15"/>
      <c r="R61" s="1"/>
    </row>
    <row r="62" spans="1:18" x14ac:dyDescent="0.25">
      <c r="A62" s="101"/>
      <c r="B62" s="102"/>
      <c r="C62" s="102"/>
      <c r="D62" s="102"/>
      <c r="E62" s="102"/>
      <c r="F62" s="103"/>
      <c r="G62" s="102"/>
      <c r="H62" s="103"/>
      <c r="I62" s="101"/>
      <c r="J62" s="101"/>
      <c r="K62" s="103"/>
      <c r="L62" s="106"/>
      <c r="P62" s="23"/>
      <c r="Q62" s="15"/>
      <c r="R62" s="1">
        <f t="shared" si="0"/>
      </c>
    </row>
    <row r="63" spans="1:18" ht="90" x14ac:dyDescent="0.25">
      <c r="A63" s="3"/>
      <c r="B63" s="11"/>
      <c r="C63" s="11"/>
      <c r="D63" s="11"/>
      <c r="E63" s="11"/>
      <c r="F63" s="6"/>
      <c r="G63" s="11"/>
      <c r="H63" s="6"/>
      <c r="I63" s="6"/>
      <c r="J63" s="6">
        <f>H63*I63</f>
      </c>
      <c r="K63" s="6"/>
      <c r="L63" s="9"/>
    </row>
    <row r="64" spans="1:18" ht="90" x14ac:dyDescent="0.25">
      <c r="A64" s="3"/>
      <c r="B64" s="11"/>
      <c r="C64" s="11"/>
      <c r="D64" s="11"/>
      <c r="E64" s="11"/>
      <c r="F64" s="6"/>
      <c r="G64" s="11"/>
      <c r="H64" s="6"/>
      <c r="I64" s="6"/>
      <c r="J64" s="6"/>
      <c r="K64" s="9"/>
      <c r="L64" s="9"/>
    </row>
    <row r="65" spans="1:12" x14ac:dyDescent="0.25">
      <c r="A65" s="3"/>
      <c r="B65" s="11"/>
      <c r="C65" s="9"/>
      <c r="D65" s="26"/>
      <c r="E65" s="26"/>
      <c r="F65" s="3"/>
      <c r="G65" s="9"/>
      <c r="H65" s="9"/>
      <c r="I65" s="9"/>
      <c r="J65" s="9"/>
      <c r="K65" s="9"/>
      <c r="L65" s="108"/>
    </row>
    <row r="66" spans="1:12" x14ac:dyDescent="0.25">
      <c r="A66" s="101"/>
      <c r="B66" s="106"/>
      <c r="C66" s="106"/>
      <c r="D66" s="105"/>
      <c r="E66" s="105"/>
      <c r="F66" s="101"/>
      <c r="G66" s="106"/>
      <c r="H66" s="106"/>
      <c r="I66" s="106"/>
      <c r="J66" s="106"/>
      <c r="K66" s="106"/>
      <c r="L66" s="106"/>
    </row>
    <row r="67" spans="1:12" ht="78.75" x14ac:dyDescent="0.25">
      <c r="A67" s="145"/>
      <c r="B67" s="11"/>
      <c r="C67" s="11"/>
      <c r="D67" s="11"/>
      <c r="E67" s="11"/>
      <c r="F67" s="6"/>
      <c r="G67" s="11"/>
      <c r="H67" s="6"/>
      <c r="I67" s="6"/>
      <c r="J67" s="6">
        <f>H67*I67</f>
      </c>
      <c r="K67" s="6"/>
      <c r="L67" s="9"/>
    </row>
    <row r="68" spans="1:12" ht="56.25" x14ac:dyDescent="0.25">
      <c r="A68" s="145"/>
      <c r="B68" s="2"/>
      <c r="C68" s="11"/>
      <c r="D68" s="11"/>
      <c r="E68" s="11"/>
      <c r="F68" s="6"/>
      <c r="G68" s="11"/>
      <c r="H68" s="6"/>
      <c r="I68" s="6"/>
      <c r="J68" s="6"/>
      <c r="K68" s="9"/>
      <c r="L68" s="9"/>
    </row>
    <row r="69" spans="1:12" ht="45" x14ac:dyDescent="0.25">
      <c r="A69" s="145"/>
      <c r="B69" s="2"/>
      <c r="C69" s="26"/>
      <c r="D69" s="26"/>
      <c r="E69" s="11"/>
      <c r="F69" s="6"/>
      <c r="G69" s="11"/>
      <c r="H69" s="6"/>
      <c r="I69" s="6"/>
      <c r="J69" s="6"/>
      <c r="K69" s="9"/>
      <c r="L69" s="9"/>
    </row>
    <row r="70" spans="1:12" ht="45" x14ac:dyDescent="0.25">
      <c r="A70" s="145"/>
      <c r="B70" s="2"/>
      <c r="C70" s="11"/>
      <c r="D70" s="11"/>
      <c r="E70" s="11"/>
      <c r="F70" s="6"/>
      <c r="G70" s="11"/>
      <c r="H70" s="6"/>
      <c r="I70" s="6"/>
      <c r="J70" s="6"/>
      <c r="K70" s="9"/>
      <c r="L70" s="9"/>
    </row>
  </sheetData>
  <mergeCells count="13">
    <mergeCell ref="C2:H2"/>
    <mergeCell ref="A4:B4"/>
    <mergeCell ref="A5:B5"/>
    <mergeCell ref="A6:B6"/>
    <mergeCell ref="P9:S9"/>
    <mergeCell ref="L7:L8"/>
    <mergeCell ref="A7:A8"/>
    <mergeCell ref="B7:B8"/>
    <mergeCell ref="C7:C8"/>
    <mergeCell ref="D7:D8"/>
    <mergeCell ref="E7:F7"/>
    <mergeCell ref="G7:G8"/>
    <mergeCell ref="H7:K7"/>
  </mergeCells>
  <pageMargins left="0.39370078740157483" right="0.39370078740157483" top="0.39370078740157483" bottom="0.3937007874015748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356A-E2F3-4457-B409-5497954D4432}">
  <dimension ref="A2:L82"/>
  <sheetViews>
    <sheetView topLeftCell="A7" zoomScale="145" zoomScaleNormal="145" workbookViewId="0">
      <pane ySplit="2" topLeftCell="A9" activePane="bottomLeft" state="frozen"/>
      <selection activeCell="A7" sqref="A7"/>
      <selection pane="bottomLeft" activeCell="F77" sqref="F77"/>
    </sheetView>
  </sheetViews>
  <sheetFormatPr defaultColWidth="9.140625" defaultRowHeight="9" x14ac:dyDescent="0.15"/>
  <cols>
    <col min="1" max="1" width="4.7109375" style="134" customWidth="1"/>
    <col min="2" max="3" width="17.140625" style="94" customWidth="1"/>
    <col min="4" max="10" width="9.140625" style="94"/>
    <col min="11" max="11" width="9.140625" style="94" customWidth="1"/>
    <col min="12" max="16384" width="9.140625" style="94"/>
  </cols>
  <sheetData>
    <row r="2" spans="1:12" x14ac:dyDescent="0.15">
      <c r="C2" s="263" t="s">
        <v>133</v>
      </c>
      <c r="D2" s="263"/>
      <c r="E2" s="263"/>
      <c r="F2" s="263"/>
      <c r="G2" s="263"/>
    </row>
    <row r="3" spans="1:12" x14ac:dyDescent="0.15">
      <c r="C3" s="134"/>
      <c r="D3" s="134"/>
      <c r="E3" s="134"/>
      <c r="F3" s="134"/>
      <c r="G3" s="134"/>
    </row>
    <row r="4" spans="1:12" x14ac:dyDescent="0.15">
      <c r="A4" s="264" t="s">
        <v>110</v>
      </c>
      <c r="B4" s="264"/>
      <c r="C4" s="96"/>
      <c r="D4" s="96"/>
      <c r="E4" s="134"/>
      <c r="F4" s="134"/>
      <c r="G4" s="134"/>
    </row>
    <row r="5" spans="1:12" x14ac:dyDescent="0.15">
      <c r="A5" s="264" t="s">
        <v>111</v>
      </c>
      <c r="B5" s="264"/>
      <c r="C5" s="96"/>
      <c r="D5" s="96"/>
      <c r="E5" s="134"/>
      <c r="F5" s="134"/>
      <c r="G5" s="134"/>
    </row>
    <row r="6" spans="1:12" x14ac:dyDescent="0.15">
      <c r="A6" s="265" t="s">
        <v>112</v>
      </c>
      <c r="B6" s="265"/>
      <c r="C6" s="97"/>
      <c r="D6" s="97"/>
    </row>
    <row r="7" spans="1:12" x14ac:dyDescent="0.15">
      <c r="A7" s="266" t="s">
        <v>27</v>
      </c>
      <c r="B7" s="266" t="s">
        <v>29</v>
      </c>
      <c r="C7" s="268" t="s">
        <v>134</v>
      </c>
      <c r="D7" s="268" t="s">
        <v>135</v>
      </c>
      <c r="E7" s="268"/>
      <c r="F7" s="268"/>
      <c r="G7" s="268" t="s">
        <v>93</v>
      </c>
      <c r="H7" s="268"/>
      <c r="I7" s="268"/>
      <c r="J7" s="268"/>
      <c r="K7" s="260" t="s">
        <v>136</v>
      </c>
      <c r="L7" s="262" t="s">
        <v>32</v>
      </c>
    </row>
    <row r="8" spans="1:12" x14ac:dyDescent="0.15">
      <c r="A8" s="267"/>
      <c r="B8" s="267"/>
      <c r="C8" s="268"/>
      <c r="D8" s="144" t="s">
        <v>137</v>
      </c>
      <c r="E8" s="144" t="s">
        <v>138</v>
      </c>
      <c r="F8" s="144" t="s">
        <v>139</v>
      </c>
      <c r="G8" s="144" t="s">
        <v>96</v>
      </c>
      <c r="H8" s="144" t="s">
        <v>76</v>
      </c>
      <c r="I8" s="144" t="s">
        <v>103</v>
      </c>
      <c r="J8" s="144" t="s">
        <v>31</v>
      </c>
      <c r="K8" s="261"/>
      <c r="L8" s="262"/>
    </row>
    <row r="9" spans="1:12" x14ac:dyDescent="0.15">
      <c r="A9" s="64" t="s">
        <v>81</v>
      </c>
      <c r="B9" s="64" t="s">
        <v>82</v>
      </c>
      <c r="C9" s="64" t="s">
        <v>83</v>
      </c>
      <c r="D9" s="64" t="s">
        <v>84</v>
      </c>
      <c r="E9" s="64" t="s">
        <v>85</v>
      </c>
      <c r="F9" s="64" t="s">
        <v>86</v>
      </c>
      <c r="G9" s="64" t="s">
        <v>87</v>
      </c>
      <c r="H9" s="64" t="s">
        <v>88</v>
      </c>
      <c r="I9" s="64" t="s">
        <v>89</v>
      </c>
      <c r="J9" s="64" t="s">
        <v>90</v>
      </c>
      <c r="K9" s="64" t="s">
        <v>91</v>
      </c>
      <c r="L9" s="64" t="s">
        <v>92</v>
      </c>
    </row>
    <row r="10" spans="1:12" ht="18" x14ac:dyDescent="0.15">
      <c r="A10" s="91"/>
      <c r="B10" s="88"/>
      <c r="C10" s="116"/>
      <c r="D10" s="87"/>
      <c r="E10" s="135"/>
      <c r="F10" s="87"/>
      <c r="G10" s="87"/>
      <c r="H10" s="87"/>
      <c r="I10" s="87">
        <f>G10*H10</f>
      </c>
      <c r="J10" s="65"/>
      <c r="K10" s="91"/>
      <c r="L10" s="92"/>
    </row>
    <row r="11" spans="1:12" ht="27" x14ac:dyDescent="0.15">
      <c r="A11" s="91"/>
      <c r="B11" s="88"/>
      <c r="C11" s="88"/>
      <c r="D11" s="87"/>
      <c r="E11" s="135"/>
      <c r="F11" s="87"/>
      <c r="G11" s="87"/>
      <c r="H11" s="87"/>
      <c r="I11" s="87"/>
      <c r="J11" s="87"/>
      <c r="K11" s="91"/>
      <c r="L11" s="92"/>
    </row>
    <row r="12" spans="1:12" ht="36" x14ac:dyDescent="0.15">
      <c r="A12" s="91"/>
      <c r="B12" s="113"/>
      <c r="C12" s="88"/>
      <c r="D12" s="87"/>
      <c r="E12" s="135"/>
      <c r="F12" s="135"/>
      <c r="G12" s="87"/>
      <c r="H12" s="87"/>
      <c r="I12" s="87"/>
      <c r="J12" s="87"/>
      <c r="K12" s="91"/>
      <c r="L12" s="65"/>
    </row>
    <row r="13" spans="1:12" x14ac:dyDescent="0.15">
      <c r="A13" s="91"/>
      <c r="B13" s="113"/>
      <c r="C13" s="153"/>
      <c r="D13" s="87"/>
      <c r="E13" s="135"/>
      <c r="F13" s="135"/>
      <c r="G13" s="87"/>
      <c r="H13" s="87"/>
      <c r="I13" s="87"/>
      <c r="J13" s="87"/>
      <c r="K13" s="91"/>
      <c r="L13" s="65"/>
    </row>
    <row r="14" spans="1:12" x14ac:dyDescent="0.15">
      <c r="A14" s="91"/>
      <c r="B14" s="113"/>
      <c r="C14" s="153"/>
      <c r="D14" s="87"/>
      <c r="E14" s="135"/>
      <c r="F14" s="135"/>
      <c r="G14" s="87"/>
      <c r="H14" s="87"/>
      <c r="I14" s="87"/>
      <c r="J14" s="87"/>
      <c r="K14" s="91"/>
      <c r="L14" s="65"/>
    </row>
    <row r="15" spans="1:12" ht="18" x14ac:dyDescent="0.15">
      <c r="A15" s="91"/>
      <c r="B15" s="113"/>
      <c r="C15" s="153"/>
      <c r="D15" s="135"/>
      <c r="E15" s="135"/>
      <c r="F15" s="135"/>
      <c r="G15" s="87"/>
      <c r="H15" s="87"/>
      <c r="I15" s="87"/>
      <c r="J15" s="87"/>
      <c r="K15" s="91"/>
      <c r="L15" s="65"/>
    </row>
    <row r="16" spans="1:12" x14ac:dyDescent="0.15">
      <c r="A16" s="118"/>
      <c r="B16" s="119"/>
      <c r="C16" s="136"/>
      <c r="D16" s="122"/>
      <c r="E16" s="137"/>
      <c r="F16" s="122"/>
      <c r="G16" s="122"/>
      <c r="H16" s="122"/>
      <c r="I16" s="122"/>
      <c r="J16" s="122"/>
      <c r="K16" s="118"/>
      <c r="L16" s="138"/>
    </row>
    <row r="17" spans="1:12" ht="18" x14ac:dyDescent="0.15">
      <c r="A17" s="91"/>
      <c r="B17" s="88"/>
      <c r="C17" s="88"/>
      <c r="D17" s="87"/>
      <c r="E17" s="135"/>
      <c r="F17" s="135"/>
      <c r="G17" s="87"/>
      <c r="H17" s="87"/>
      <c r="I17" s="87">
        <f>G17*H17</f>
      </c>
      <c r="J17" s="65"/>
      <c r="K17" s="91"/>
      <c r="L17" s="92"/>
    </row>
    <row r="18" spans="1:12" ht="27" x14ac:dyDescent="0.15">
      <c r="A18" s="91"/>
      <c r="B18" s="113"/>
      <c r="C18" s="88"/>
      <c r="D18" s="87"/>
      <c r="E18" s="135"/>
      <c r="F18" s="135"/>
      <c r="G18" s="87"/>
      <c r="H18" s="87"/>
      <c r="I18" s="87"/>
      <c r="J18" s="65"/>
      <c r="K18" s="91"/>
      <c r="L18" s="65"/>
    </row>
    <row r="19" spans="1:12" ht="18" x14ac:dyDescent="0.15">
      <c r="A19" s="91"/>
      <c r="B19" s="113"/>
      <c r="C19" s="88"/>
      <c r="D19" s="87"/>
      <c r="E19" s="135"/>
      <c r="F19" s="135"/>
      <c r="G19" s="87"/>
      <c r="H19" s="87"/>
      <c r="I19" s="87"/>
      <c r="J19" s="87"/>
      <c r="K19" s="91"/>
      <c r="L19" s="65"/>
    </row>
    <row r="20" spans="1:12" x14ac:dyDescent="0.15">
      <c r="A20" s="91"/>
      <c r="B20" s="113"/>
      <c r="C20" s="88"/>
      <c r="D20" s="87"/>
      <c r="E20" s="135"/>
      <c r="F20" s="135"/>
      <c r="G20" s="87"/>
      <c r="H20" s="87"/>
      <c r="I20" s="87"/>
      <c r="J20" s="87"/>
      <c r="K20" s="91"/>
      <c r="L20" s="65"/>
    </row>
    <row r="21" spans="1:12" ht="45" x14ac:dyDescent="0.15">
      <c r="A21" s="91"/>
      <c r="B21" s="113"/>
      <c r="C21" s="88"/>
      <c r="D21" s="135"/>
      <c r="E21" s="135"/>
      <c r="F21" s="135"/>
      <c r="G21" s="87"/>
      <c r="H21" s="87"/>
      <c r="I21" s="87"/>
      <c r="J21" s="87"/>
      <c r="K21" s="91"/>
      <c r="L21" s="65"/>
    </row>
    <row r="22" spans="1:12" x14ac:dyDescent="0.15">
      <c r="A22" s="91"/>
      <c r="B22" s="113"/>
      <c r="C22" s="153"/>
      <c r="D22" s="135"/>
      <c r="E22" s="135"/>
      <c r="F22" s="135"/>
      <c r="G22" s="87"/>
      <c r="H22" s="87"/>
      <c r="I22" s="87"/>
      <c r="J22" s="87"/>
      <c r="K22" s="91"/>
      <c r="L22" s="65"/>
    </row>
    <row r="23" spans="1:12" ht="36" x14ac:dyDescent="0.15">
      <c r="A23" s="91"/>
      <c r="B23" s="113"/>
      <c r="C23" s="153"/>
      <c r="D23" s="135"/>
      <c r="E23" s="135"/>
      <c r="F23" s="135"/>
      <c r="G23" s="87"/>
      <c r="H23" s="87"/>
      <c r="I23" s="87"/>
      <c r="J23" s="87"/>
      <c r="K23" s="91"/>
      <c r="L23" s="65"/>
    </row>
    <row r="24" spans="1:12" ht="18" x14ac:dyDescent="0.15">
      <c r="A24" s="91"/>
      <c r="B24" s="113"/>
      <c r="C24" s="88"/>
      <c r="D24" s="135"/>
      <c r="E24" s="135"/>
      <c r="F24" s="135"/>
      <c r="G24" s="87"/>
      <c r="H24" s="87"/>
      <c r="I24" s="87"/>
      <c r="J24" s="87"/>
      <c r="K24" s="91"/>
      <c r="L24" s="65"/>
    </row>
    <row r="25" spans="1:12" x14ac:dyDescent="0.15">
      <c r="A25" s="118"/>
      <c r="B25" s="119"/>
      <c r="C25" s="120"/>
      <c r="D25" s="122"/>
      <c r="E25" s="137"/>
      <c r="F25" s="137"/>
      <c r="G25" s="122"/>
      <c r="H25" s="122"/>
      <c r="I25" s="122"/>
      <c r="J25" s="122"/>
      <c r="K25" s="118"/>
      <c r="L25" s="138"/>
    </row>
    <row r="26" spans="1:12" ht="27" x14ac:dyDescent="0.15">
      <c r="A26" s="91"/>
      <c r="B26" s="88"/>
      <c r="C26" s="88"/>
      <c r="D26" s="87"/>
      <c r="E26" s="135"/>
      <c r="F26" s="87"/>
      <c r="G26" s="87"/>
      <c r="H26" s="87"/>
      <c r="I26" s="87">
        <f t="shared" ref="I26" si="0">G26*H26</f>
      </c>
      <c r="J26" s="87"/>
      <c r="K26" s="91"/>
      <c r="L26" s="92"/>
    </row>
    <row r="27" spans="1:12" ht="18" x14ac:dyDescent="0.15">
      <c r="A27" s="91"/>
      <c r="B27" s="88"/>
      <c r="C27" s="88"/>
      <c r="D27" s="87"/>
      <c r="E27" s="135"/>
      <c r="F27" s="87"/>
      <c r="G27" s="87"/>
      <c r="H27" s="87"/>
      <c r="I27" s="87"/>
      <c r="J27" s="87"/>
      <c r="K27" s="91"/>
      <c r="L27" s="92"/>
    </row>
    <row r="28" spans="1:12" ht="27" x14ac:dyDescent="0.15">
      <c r="A28" s="91"/>
      <c r="B28" s="88"/>
      <c r="C28" s="88"/>
      <c r="D28" s="87"/>
      <c r="E28" s="135"/>
      <c r="F28" s="87"/>
      <c r="G28" s="87"/>
      <c r="H28" s="87"/>
      <c r="I28" s="87"/>
      <c r="J28" s="87"/>
      <c r="K28" s="91"/>
      <c r="L28" s="92"/>
    </row>
    <row r="29" spans="1:12" ht="27" x14ac:dyDescent="0.15">
      <c r="A29" s="91"/>
      <c r="B29" s="88"/>
      <c r="C29" s="88"/>
      <c r="D29" s="87"/>
      <c r="E29" s="135"/>
      <c r="F29" s="87"/>
      <c r="G29" s="87"/>
      <c r="H29" s="87"/>
      <c r="I29" s="87"/>
      <c r="J29" s="87"/>
      <c r="K29" s="91"/>
      <c r="L29" s="92"/>
    </row>
    <row r="30" spans="1:12" x14ac:dyDescent="0.15">
      <c r="A30" s="91"/>
      <c r="B30" s="88"/>
      <c r="C30" s="88"/>
      <c r="D30" s="87"/>
      <c r="E30" s="135"/>
      <c r="F30" s="87"/>
      <c r="G30" s="87"/>
      <c r="H30" s="87"/>
      <c r="I30" s="87"/>
      <c r="J30" s="87"/>
      <c r="K30" s="91"/>
      <c r="L30" s="92"/>
    </row>
    <row r="31" spans="1:12" x14ac:dyDescent="0.15">
      <c r="A31" s="118"/>
      <c r="B31" s="119"/>
      <c r="C31" s="120"/>
      <c r="D31" s="122"/>
      <c r="E31" s="122"/>
      <c r="F31" s="137"/>
      <c r="G31" s="122"/>
      <c r="H31" s="122"/>
      <c r="I31" s="122"/>
      <c r="J31" s="122"/>
      <c r="K31" s="118"/>
      <c r="L31" s="138"/>
    </row>
    <row r="32" spans="1:12" ht="27" x14ac:dyDescent="0.15">
      <c r="A32" s="91"/>
      <c r="B32" s="88"/>
      <c r="C32" s="88"/>
      <c r="D32" s="146"/>
      <c r="E32" s="135"/>
      <c r="F32" s="87"/>
      <c r="G32" s="87"/>
      <c r="H32" s="87"/>
      <c r="I32" s="87">
        <f t="shared" ref="I32" si="1">G32*H32</f>
      </c>
      <c r="J32" s="87"/>
      <c r="K32" s="91"/>
      <c r="L32" s="92"/>
    </row>
    <row r="33" spans="1:12" ht="27" x14ac:dyDescent="0.15">
      <c r="A33" s="91"/>
      <c r="B33" s="88"/>
      <c r="C33" s="88"/>
      <c r="D33" s="146"/>
      <c r="E33" s="135"/>
      <c r="F33" s="87"/>
      <c r="G33" s="87"/>
      <c r="H33" s="87"/>
      <c r="I33" s="87"/>
      <c r="J33" s="87"/>
      <c r="K33" s="91"/>
      <c r="L33" s="92"/>
    </row>
    <row r="34" spans="1:12" ht="18" x14ac:dyDescent="0.15">
      <c r="A34" s="91"/>
      <c r="B34" s="88"/>
      <c r="C34" s="88"/>
      <c r="D34" s="146"/>
      <c r="E34" s="135"/>
      <c r="F34" s="87"/>
      <c r="G34" s="87"/>
      <c r="H34" s="87"/>
      <c r="I34" s="87"/>
      <c r="J34" s="87"/>
      <c r="K34" s="91"/>
      <c r="L34" s="92"/>
    </row>
    <row r="35" spans="1:12" x14ac:dyDescent="0.15">
      <c r="A35" s="91"/>
      <c r="B35" s="88"/>
      <c r="C35" s="88"/>
      <c r="D35" s="146"/>
      <c r="E35" s="135"/>
      <c r="F35" s="87"/>
      <c r="G35" s="87"/>
      <c r="H35" s="87"/>
      <c r="I35" s="87"/>
      <c r="J35" s="87"/>
      <c r="K35" s="91"/>
      <c r="L35" s="92"/>
    </row>
    <row r="36" spans="1:12" x14ac:dyDescent="0.15">
      <c r="A36" s="118"/>
      <c r="B36" s="120"/>
      <c r="C36" s="120"/>
      <c r="D36" s="122"/>
      <c r="E36" s="137"/>
      <c r="F36" s="122"/>
      <c r="G36" s="122"/>
      <c r="H36" s="122"/>
      <c r="I36" s="122"/>
      <c r="J36" s="122"/>
      <c r="K36" s="118"/>
      <c r="L36" s="138"/>
    </row>
    <row r="37" spans="1:12" ht="18" x14ac:dyDescent="0.15">
      <c r="A37" s="91"/>
      <c r="B37" s="88"/>
      <c r="C37" s="88"/>
      <c r="D37" s="135"/>
      <c r="E37" s="135"/>
      <c r="F37" s="87"/>
      <c r="G37" s="91"/>
      <c r="H37" s="91"/>
      <c r="I37" s="91">
        <f>G37*H37</f>
      </c>
      <c r="J37" s="87"/>
      <c r="K37" s="92"/>
      <c r="L37" s="92"/>
    </row>
    <row r="38" spans="1:12" x14ac:dyDescent="0.15">
      <c r="A38" s="91"/>
      <c r="B38" s="88"/>
      <c r="C38" s="88"/>
      <c r="D38" s="135"/>
      <c r="E38" s="135"/>
      <c r="F38" s="87"/>
      <c r="G38" s="87"/>
      <c r="H38" s="87"/>
      <c r="I38" s="87"/>
      <c r="J38" s="87"/>
      <c r="K38" s="92"/>
      <c r="L38" s="92"/>
    </row>
    <row r="39" spans="1:12" x14ac:dyDescent="0.15">
      <c r="A39" s="118"/>
      <c r="B39" s="120"/>
      <c r="C39" s="120"/>
      <c r="D39" s="122"/>
      <c r="E39" s="137"/>
      <c r="F39" s="122"/>
      <c r="G39" s="122"/>
      <c r="H39" s="122"/>
      <c r="I39" s="122"/>
      <c r="J39" s="122"/>
      <c r="K39" s="139"/>
      <c r="L39" s="138"/>
    </row>
    <row r="40" spans="1:12" ht="27" x14ac:dyDescent="0.15">
      <c r="A40" s="91"/>
      <c r="B40" s="88"/>
      <c r="C40" s="116"/>
      <c r="D40" s="87"/>
      <c r="E40" s="135"/>
      <c r="F40" s="135"/>
      <c r="G40" s="87"/>
      <c r="H40" s="87"/>
      <c r="I40" s="87">
        <f t="shared" ref="I40" si="2">G40*H40</f>
      </c>
      <c r="J40" s="87"/>
      <c r="K40" s="92"/>
      <c r="L40" s="92"/>
    </row>
    <row r="41" spans="1:12" ht="18" x14ac:dyDescent="0.15">
      <c r="A41" s="91"/>
      <c r="B41" s="88"/>
      <c r="C41" s="88"/>
      <c r="D41" s="87"/>
      <c r="E41" s="135"/>
      <c r="F41" s="135"/>
      <c r="G41" s="87"/>
      <c r="H41" s="87"/>
      <c r="I41" s="87"/>
      <c r="J41" s="87"/>
      <c r="K41" s="92"/>
      <c r="L41" s="92"/>
    </row>
    <row r="42" spans="1:12" ht="18" x14ac:dyDescent="0.15">
      <c r="A42" s="91"/>
      <c r="B42" s="88"/>
      <c r="C42" s="88"/>
      <c r="D42" s="87"/>
      <c r="E42" s="135"/>
      <c r="F42" s="135"/>
      <c r="G42" s="87"/>
      <c r="H42" s="87"/>
      <c r="I42" s="87"/>
      <c r="J42" s="87"/>
      <c r="K42" s="92"/>
      <c r="L42" s="92"/>
    </row>
    <row r="43" spans="1:12" ht="27" x14ac:dyDescent="0.15">
      <c r="A43" s="91"/>
      <c r="B43" s="88"/>
      <c r="C43" s="88"/>
      <c r="D43" s="87"/>
      <c r="E43" s="135"/>
      <c r="F43" s="135"/>
      <c r="G43" s="87"/>
      <c r="H43" s="87"/>
      <c r="I43" s="87"/>
      <c r="J43" s="87"/>
      <c r="K43" s="92"/>
      <c r="L43" s="92"/>
    </row>
    <row r="44" spans="1:12" ht="18" x14ac:dyDescent="0.15">
      <c r="A44" s="91"/>
      <c r="B44" s="88"/>
      <c r="C44" s="88"/>
      <c r="D44" s="87"/>
      <c r="E44" s="135"/>
      <c r="F44" s="135"/>
      <c r="G44" s="87"/>
      <c r="H44" s="87"/>
      <c r="I44" s="87"/>
      <c r="J44" s="87"/>
      <c r="K44" s="92"/>
      <c r="L44" s="92"/>
    </row>
    <row r="45" spans="1:12" ht="27" x14ac:dyDescent="0.15">
      <c r="A45" s="91"/>
      <c r="B45" s="88"/>
      <c r="C45" s="88"/>
      <c r="D45" s="87"/>
      <c r="E45" s="135"/>
      <c r="F45" s="135"/>
      <c r="G45" s="87"/>
      <c r="H45" s="87"/>
      <c r="I45" s="87"/>
      <c r="J45" s="87"/>
      <c r="K45" s="92"/>
      <c r="L45" s="92"/>
    </row>
    <row r="46" spans="1:12" x14ac:dyDescent="0.15">
      <c r="A46" s="91"/>
      <c r="B46" s="88"/>
      <c r="C46" s="153"/>
      <c r="D46" s="87"/>
      <c r="E46" s="135"/>
      <c r="F46" s="135"/>
      <c r="G46" s="87"/>
      <c r="H46" s="87"/>
      <c r="I46" s="87"/>
      <c r="J46" s="87"/>
      <c r="K46" s="92"/>
      <c r="L46" s="92"/>
    </row>
    <row r="47" spans="1:12" x14ac:dyDescent="0.15">
      <c r="A47" s="91"/>
      <c r="B47" s="88"/>
      <c r="C47" s="153"/>
      <c r="D47" s="87"/>
      <c r="E47" s="135"/>
      <c r="F47" s="135"/>
      <c r="G47" s="87"/>
      <c r="H47" s="87"/>
      <c r="I47" s="87"/>
      <c r="J47" s="87"/>
      <c r="K47" s="92"/>
      <c r="L47" s="92"/>
    </row>
    <row r="48" spans="1:12" ht="18" x14ac:dyDescent="0.15">
      <c r="A48" s="91"/>
      <c r="B48" s="88"/>
      <c r="C48" s="153"/>
      <c r="D48" s="135"/>
      <c r="E48" s="135"/>
      <c r="F48" s="135"/>
      <c r="G48" s="87"/>
      <c r="H48" s="87"/>
      <c r="I48" s="87"/>
      <c r="J48" s="87"/>
      <c r="K48" s="92"/>
      <c r="L48" s="92"/>
    </row>
    <row r="49" spans="1:12" x14ac:dyDescent="0.15">
      <c r="A49" s="118"/>
      <c r="B49" s="120"/>
      <c r="C49" s="120"/>
      <c r="D49" s="122"/>
      <c r="E49" s="122"/>
      <c r="F49" s="137"/>
      <c r="G49" s="122"/>
      <c r="H49" s="122"/>
      <c r="I49" s="122"/>
      <c r="J49" s="122"/>
      <c r="K49" s="139"/>
      <c r="L49" s="138"/>
    </row>
    <row r="50" spans="1:12" ht="27" x14ac:dyDescent="0.15">
      <c r="A50" s="91"/>
      <c r="B50" s="88"/>
      <c r="C50" s="88"/>
      <c r="D50" s="87"/>
      <c r="E50" s="135"/>
      <c r="F50" s="90"/>
      <c r="G50" s="87"/>
      <c r="H50" s="87"/>
      <c r="I50" s="87">
        <f>G50*H50</f>
      </c>
      <c r="J50" s="87"/>
      <c r="K50" s="92"/>
      <c r="L50" s="65"/>
    </row>
    <row r="51" spans="1:12" ht="18" x14ac:dyDescent="0.15">
      <c r="A51" s="91"/>
      <c r="B51" s="88"/>
      <c r="C51" s="88"/>
      <c r="D51" s="87"/>
      <c r="E51" s="135"/>
      <c r="F51" s="87"/>
      <c r="G51" s="87"/>
      <c r="H51" s="87"/>
      <c r="I51" s="87"/>
      <c r="J51" s="87"/>
      <c r="K51" s="92"/>
      <c r="L51" s="92"/>
    </row>
    <row r="52" spans="1:12" ht="27" x14ac:dyDescent="0.15">
      <c r="A52" s="91"/>
      <c r="B52" s="113"/>
      <c r="C52" s="88"/>
      <c r="D52" s="87"/>
      <c r="E52" s="135"/>
      <c r="F52" s="135"/>
      <c r="G52" s="87"/>
      <c r="H52" s="87"/>
      <c r="I52" s="87"/>
      <c r="J52" s="87"/>
      <c r="K52" s="92"/>
      <c r="L52" s="65"/>
    </row>
    <row r="53" spans="1:12" x14ac:dyDescent="0.15">
      <c r="A53" s="91"/>
      <c r="B53" s="113"/>
      <c r="C53" s="88"/>
      <c r="D53" s="135"/>
      <c r="E53" s="135"/>
      <c r="F53" s="135"/>
      <c r="G53" s="87"/>
      <c r="H53" s="87"/>
      <c r="I53" s="87"/>
      <c r="J53" s="87"/>
      <c r="K53" s="92"/>
      <c r="L53" s="65"/>
    </row>
    <row r="54" spans="1:12" ht="18" x14ac:dyDescent="0.15">
      <c r="A54" s="91"/>
      <c r="B54" s="113"/>
      <c r="C54" s="88"/>
      <c r="D54" s="135"/>
      <c r="E54" s="135"/>
      <c r="F54" s="135"/>
      <c r="G54" s="87"/>
      <c r="H54" s="87"/>
      <c r="I54" s="87"/>
      <c r="J54" s="87"/>
      <c r="K54" s="92"/>
      <c r="L54" s="65"/>
    </row>
    <row r="55" spans="1:12" x14ac:dyDescent="0.15">
      <c r="A55" s="118"/>
      <c r="B55" s="119"/>
      <c r="C55" s="120"/>
      <c r="D55" s="122"/>
      <c r="E55" s="122"/>
      <c r="F55" s="137"/>
      <c r="G55" s="122"/>
      <c r="H55" s="122"/>
      <c r="I55" s="122"/>
      <c r="J55" s="122"/>
      <c r="K55" s="139"/>
      <c r="L55" s="138"/>
    </row>
    <row r="56" spans="1:12" ht="18" x14ac:dyDescent="0.15">
      <c r="A56" s="91"/>
      <c r="B56" s="88"/>
      <c r="C56" s="88"/>
      <c r="D56" s="87"/>
      <c r="E56" s="135"/>
      <c r="F56" s="135"/>
      <c r="G56" s="87"/>
      <c r="H56" s="87"/>
      <c r="I56" s="87">
        <f>G56*H56</f>
      </c>
      <c r="J56" s="87"/>
      <c r="K56" s="92"/>
      <c r="L56" s="65"/>
    </row>
    <row r="57" spans="1:12" x14ac:dyDescent="0.15">
      <c r="A57" s="91"/>
      <c r="B57" s="88"/>
      <c r="C57" s="88"/>
      <c r="D57" s="87"/>
      <c r="E57" s="135"/>
      <c r="F57" s="135"/>
      <c r="G57" s="87"/>
      <c r="H57" s="87"/>
      <c r="I57" s="87"/>
      <c r="J57" s="87"/>
      <c r="K57" s="92"/>
      <c r="L57" s="65"/>
    </row>
    <row r="58" spans="1:12" x14ac:dyDescent="0.15">
      <c r="A58" s="91"/>
      <c r="B58" s="88"/>
      <c r="C58" s="88"/>
      <c r="D58" s="135"/>
      <c r="E58" s="135"/>
      <c r="F58" s="90"/>
      <c r="G58" s="87"/>
      <c r="H58" s="87"/>
      <c r="I58" s="87"/>
      <c r="J58" s="87"/>
      <c r="K58" s="91"/>
      <c r="L58" s="92"/>
    </row>
    <row r="59" spans="1:12" x14ac:dyDescent="0.15">
      <c r="A59" s="91"/>
      <c r="B59" s="88"/>
      <c r="C59" s="88"/>
      <c r="D59" s="135"/>
      <c r="E59" s="135"/>
      <c r="F59" s="90"/>
      <c r="G59" s="87"/>
      <c r="H59" s="87"/>
      <c r="I59" s="87"/>
      <c r="J59" s="87"/>
      <c r="K59" s="91"/>
      <c r="L59" s="92"/>
    </row>
    <row r="60" spans="1:12" ht="18" x14ac:dyDescent="0.15">
      <c r="A60" s="91"/>
      <c r="B60" s="88"/>
      <c r="C60" s="88"/>
      <c r="D60" s="135"/>
      <c r="E60" s="135"/>
      <c r="F60" s="135"/>
      <c r="G60" s="87"/>
      <c r="H60" s="87"/>
      <c r="I60" s="87"/>
      <c r="J60" s="87"/>
      <c r="K60" s="91"/>
      <c r="L60" s="92"/>
    </row>
    <row r="61" spans="1:12" s="140" customFormat="1" x14ac:dyDescent="0.15">
      <c r="A61" s="118"/>
      <c r="B61" s="120"/>
      <c r="C61" s="120"/>
      <c r="D61" s="122"/>
      <c r="E61" s="137"/>
      <c r="F61" s="132"/>
      <c r="G61" s="122"/>
      <c r="H61" s="122"/>
      <c r="I61" s="122"/>
      <c r="J61" s="122"/>
      <c r="K61" s="118"/>
      <c r="L61" s="139"/>
    </row>
    <row r="62" spans="1:12" ht="27" x14ac:dyDescent="0.15">
      <c r="A62" s="91"/>
      <c r="B62" s="88"/>
      <c r="C62" s="88"/>
      <c r="D62" s="135"/>
      <c r="E62" s="135"/>
      <c r="F62" s="90"/>
      <c r="G62" s="91"/>
      <c r="H62" s="91"/>
      <c r="I62" s="91">
        <f>G62*H62</f>
      </c>
      <c r="J62" s="87"/>
      <c r="K62" s="91"/>
      <c r="L62" s="92"/>
    </row>
    <row r="63" spans="1:12" ht="27" x14ac:dyDescent="0.15">
      <c r="A63" s="124"/>
      <c r="B63" s="88"/>
      <c r="C63" s="88"/>
      <c r="D63" s="135"/>
      <c r="E63" s="135"/>
      <c r="F63" s="90"/>
      <c r="G63" s="91"/>
      <c r="H63" s="91"/>
      <c r="I63" s="91"/>
      <c r="J63" s="87"/>
      <c r="K63" s="91"/>
      <c r="L63" s="92"/>
    </row>
    <row r="64" spans="1:12" ht="18" x14ac:dyDescent="0.15">
      <c r="A64" s="124"/>
      <c r="B64" s="88"/>
      <c r="C64" s="88"/>
      <c r="D64" s="135"/>
      <c r="E64" s="135"/>
      <c r="F64" s="90"/>
      <c r="G64" s="91"/>
      <c r="H64" s="91"/>
      <c r="I64" s="91"/>
      <c r="J64" s="87"/>
      <c r="K64" s="91"/>
      <c r="L64" s="92"/>
    </row>
    <row r="65" spans="1:12" x14ac:dyDescent="0.15">
      <c r="A65" s="124"/>
      <c r="B65" s="147"/>
      <c r="C65" s="88"/>
      <c r="D65" s="135"/>
      <c r="E65" s="135"/>
      <c r="F65" s="90"/>
      <c r="G65" s="91"/>
      <c r="H65" s="91"/>
      <c r="I65" s="91"/>
      <c r="J65" s="87"/>
      <c r="K65" s="91"/>
      <c r="L65" s="92"/>
    </row>
    <row r="66" spans="1:12" x14ac:dyDescent="0.15">
      <c r="A66" s="124"/>
      <c r="B66" s="147"/>
      <c r="C66" s="153"/>
      <c r="D66" s="87"/>
      <c r="E66" s="135"/>
      <c r="F66" s="90"/>
      <c r="G66" s="91"/>
      <c r="H66" s="91"/>
      <c r="I66" s="91"/>
      <c r="J66" s="87"/>
      <c r="K66" s="91"/>
      <c r="L66" s="92"/>
    </row>
    <row r="67" spans="1:12" ht="18" x14ac:dyDescent="0.15">
      <c r="A67" s="124"/>
      <c r="B67" s="147"/>
      <c r="C67" s="153"/>
      <c r="D67" s="135"/>
      <c r="E67" s="135"/>
      <c r="F67" s="90"/>
      <c r="G67" s="91"/>
      <c r="H67" s="91"/>
      <c r="I67" s="91"/>
      <c r="J67" s="87"/>
      <c r="K67" s="91"/>
      <c r="L67" s="92"/>
    </row>
    <row r="68" spans="1:12" x14ac:dyDescent="0.15">
      <c r="A68" s="127"/>
      <c r="B68" s="141"/>
      <c r="C68" s="120"/>
      <c r="D68" s="137"/>
      <c r="E68" s="137"/>
      <c r="F68" s="132"/>
      <c r="G68" s="118"/>
      <c r="H68" s="118"/>
      <c r="I68" s="118"/>
      <c r="J68" s="122"/>
      <c r="K68" s="118"/>
      <c r="L68" s="139"/>
    </row>
    <row r="69" spans="1:12" ht="36" x14ac:dyDescent="0.15">
      <c r="A69" s="91"/>
      <c r="B69" s="88"/>
      <c r="C69" s="88"/>
      <c r="D69" s="135"/>
      <c r="E69" s="135"/>
      <c r="F69" s="90"/>
      <c r="G69" s="91"/>
      <c r="H69" s="91"/>
      <c r="I69" s="91">
        <f>G69*H69</f>
      </c>
      <c r="J69" s="87"/>
      <c r="K69" s="91"/>
      <c r="L69" s="92"/>
    </row>
    <row r="70" spans="1:12" x14ac:dyDescent="0.15">
      <c r="A70" s="124"/>
      <c r="B70" s="88"/>
      <c r="C70" s="65"/>
      <c r="D70" s="135"/>
      <c r="E70" s="135"/>
      <c r="F70" s="90"/>
      <c r="G70" s="91"/>
      <c r="H70" s="91"/>
      <c r="I70" s="91"/>
      <c r="J70" s="87"/>
      <c r="K70" s="91"/>
      <c r="L70" s="92"/>
    </row>
    <row r="71" spans="1:12" x14ac:dyDescent="0.15">
      <c r="A71" s="124"/>
      <c r="B71" s="88"/>
      <c r="C71" s="90"/>
      <c r="D71" s="135"/>
      <c r="E71" s="135"/>
      <c r="F71" s="90"/>
      <c r="G71" s="91"/>
      <c r="H71" s="91"/>
      <c r="I71" s="91"/>
      <c r="J71" s="87"/>
      <c r="K71" s="91"/>
      <c r="L71" s="92"/>
    </row>
    <row r="72" spans="1:12" x14ac:dyDescent="0.15">
      <c r="A72" s="142"/>
      <c r="B72" s="141"/>
      <c r="C72" s="143"/>
      <c r="D72" s="120"/>
      <c r="E72" s="120"/>
      <c r="F72" s="118"/>
      <c r="G72" s="120"/>
      <c r="H72" s="118"/>
      <c r="I72" s="118"/>
      <c r="J72" s="118"/>
      <c r="K72" s="122"/>
      <c r="L72" s="139"/>
    </row>
    <row r="73" spans="1:12" ht="27" x14ac:dyDescent="0.15">
      <c r="A73" s="91"/>
      <c r="B73" s="88"/>
      <c r="C73" s="88"/>
      <c r="D73" s="88"/>
      <c r="E73" s="135"/>
      <c r="F73" s="91"/>
      <c r="G73" s="87"/>
      <c r="H73" s="87"/>
      <c r="I73" s="87">
        <f t="shared" ref="I73" si="3">G73*H73</f>
      </c>
      <c r="J73" s="87"/>
      <c r="K73" s="87"/>
      <c r="L73" s="92"/>
    </row>
    <row r="74" spans="1:12" ht="18" x14ac:dyDescent="0.15">
      <c r="A74" s="124"/>
      <c r="B74" s="88"/>
      <c r="C74" s="88"/>
      <c r="D74" s="88"/>
      <c r="E74" s="135"/>
      <c r="F74" s="91"/>
      <c r="G74" s="88"/>
      <c r="H74" s="91"/>
      <c r="I74" s="91"/>
      <c r="J74" s="91"/>
      <c r="K74" s="87"/>
      <c r="L74" s="92"/>
    </row>
    <row r="75" spans="1:12" ht="27" x14ac:dyDescent="0.15">
      <c r="A75" s="124"/>
      <c r="B75" s="88"/>
      <c r="C75" s="88"/>
      <c r="D75" s="88"/>
      <c r="E75" s="135"/>
      <c r="F75" s="91"/>
      <c r="G75" s="88"/>
      <c r="H75" s="91"/>
      <c r="I75" s="91"/>
      <c r="J75" s="91"/>
      <c r="K75" s="87"/>
      <c r="L75" s="92"/>
    </row>
    <row r="76" spans="1:12" x14ac:dyDescent="0.15">
      <c r="A76" s="127"/>
      <c r="B76" s="120"/>
      <c r="C76" s="120"/>
      <c r="D76" s="119"/>
      <c r="E76" s="120"/>
      <c r="F76" s="118"/>
      <c r="G76" s="119"/>
      <c r="H76" s="118"/>
      <c r="I76" s="118"/>
      <c r="J76" s="118"/>
      <c r="K76" s="118"/>
      <c r="L76" s="139"/>
    </row>
    <row r="77" spans="1:12" ht="75" customHeight="1" x14ac:dyDescent="0.15">
      <c r="A77" s="91"/>
      <c r="B77" s="88"/>
      <c r="C77" s="88"/>
      <c r="D77" s="135"/>
      <c r="E77" s="135"/>
      <c r="G77" s="87"/>
      <c r="H77" s="87"/>
      <c r="I77" s="87">
        <f>G77*H77</f>
      </c>
      <c r="J77" s="87"/>
      <c r="K77" s="91"/>
      <c r="L77" s="92"/>
    </row>
    <row r="78" spans="1:12" x14ac:dyDescent="0.15">
      <c r="A78" s="124"/>
      <c r="B78" s="88"/>
      <c r="D78" s="135"/>
      <c r="E78" s="135"/>
      <c r="F78" s="135"/>
      <c r="G78" s="87"/>
      <c r="H78" s="87"/>
      <c r="I78" s="87"/>
      <c r="J78" s="87"/>
      <c r="K78" s="91"/>
      <c r="L78" s="92"/>
    </row>
    <row r="79" spans="1:12" x14ac:dyDescent="0.15">
      <c r="A79" s="127"/>
      <c r="B79" s="119"/>
      <c r="C79" s="119"/>
      <c r="D79" s="119"/>
      <c r="E79" s="119"/>
      <c r="F79" s="118"/>
      <c r="G79" s="119"/>
      <c r="H79" s="118"/>
      <c r="I79" s="118"/>
      <c r="J79" s="118"/>
      <c r="K79" s="118"/>
      <c r="L79" s="139"/>
    </row>
    <row r="80" spans="1:12" ht="27" x14ac:dyDescent="0.15">
      <c r="A80" s="91"/>
      <c r="B80" s="88"/>
      <c r="C80" s="88"/>
      <c r="D80" s="87"/>
      <c r="E80" s="135"/>
      <c r="F80" s="87"/>
      <c r="G80" s="87"/>
      <c r="H80" s="87"/>
      <c r="I80" s="87">
        <f>G80*H80</f>
      </c>
      <c r="J80" s="87"/>
      <c r="K80" s="92"/>
      <c r="L80" s="65"/>
    </row>
    <row r="81" spans="1:12" ht="18" x14ac:dyDescent="0.15">
      <c r="A81" s="91"/>
      <c r="B81" s="88"/>
      <c r="C81" s="88"/>
      <c r="D81" s="87"/>
      <c r="E81" s="135"/>
      <c r="F81" s="87"/>
      <c r="G81" s="87"/>
      <c r="H81" s="87"/>
      <c r="I81" s="87"/>
      <c r="J81" s="87"/>
      <c r="K81" s="92"/>
      <c r="L81" s="65"/>
    </row>
    <row r="82" spans="1:12" x14ac:dyDescent="0.15">
      <c r="A82" s="127"/>
      <c r="B82" s="119"/>
      <c r="C82" s="119"/>
      <c r="D82" s="119"/>
      <c r="E82" s="119"/>
      <c r="F82" s="118"/>
      <c r="G82" s="119"/>
      <c r="H82" s="118"/>
      <c r="I82" s="118"/>
      <c r="J82" s="118"/>
      <c r="K82" s="118"/>
      <c r="L82" s="139"/>
    </row>
  </sheetData>
  <mergeCells count="11">
    <mergeCell ref="K7:K8"/>
    <mergeCell ref="L7:L8"/>
    <mergeCell ref="C2:G2"/>
    <mergeCell ref="A4:B4"/>
    <mergeCell ref="A5:B5"/>
    <mergeCell ref="A6:B6"/>
    <mergeCell ref="A7:A8"/>
    <mergeCell ref="B7:B8"/>
    <mergeCell ref="C7:C8"/>
    <mergeCell ref="D7:F7"/>
    <mergeCell ref="G7:J7"/>
  </mergeCells>
  <pageMargins left="0.39370078740157483" right="0.39370078740157483" top="0.3937007874015748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55"/>
  <sheetViews>
    <sheetView topLeftCell="A7" zoomScale="150" zoomScaleNormal="150" workbookViewId="0">
      <pane ySplit="2" topLeftCell="A51" activePane="bottomLeft" state="frozen"/>
      <selection activeCell="B30" sqref="B30"/>
      <selection pane="bottomLeft" activeCell="B52" sqref="B52"/>
    </sheetView>
  </sheetViews>
  <sheetFormatPr defaultColWidth="9.140625" defaultRowHeight="9" x14ac:dyDescent="0.15"/>
  <cols>
    <col min="1" max="1" width="6.28515625" style="93" customWidth="1"/>
    <col min="2" max="2" width="15.5703125" style="94" customWidth="1"/>
    <col min="3" max="3" width="16.42578125" style="94" customWidth="1"/>
    <col min="4" max="4" width="18.85546875" style="94" customWidth="1"/>
    <col min="5" max="8" width="9.140625" style="94"/>
    <col min="9" max="9" width="19.85546875" style="94" bestFit="1" customWidth="1"/>
    <col min="10" max="10" width="12.5703125" style="94" customWidth="1"/>
    <col min="11" max="16384" width="9.140625" style="94"/>
  </cols>
  <sheetData>
    <row r="2" spans="1:23" x14ac:dyDescent="0.15">
      <c r="D2" s="269" t="s">
        <v>113</v>
      </c>
      <c r="E2" s="269"/>
      <c r="F2" s="269"/>
      <c r="G2" s="269"/>
    </row>
    <row r="3" spans="1:23" x14ac:dyDescent="0.15">
      <c r="D3" s="95"/>
      <c r="E3" s="95"/>
      <c r="F3" s="95"/>
      <c r="G3" s="95"/>
    </row>
    <row r="4" spans="1:23" x14ac:dyDescent="0.15">
      <c r="A4" s="264" t="s">
        <v>110</v>
      </c>
      <c r="B4" s="264"/>
      <c r="C4" s="96"/>
      <c r="D4" s="96"/>
      <c r="E4" s="95"/>
      <c r="F4" s="95"/>
      <c r="G4" s="95"/>
    </row>
    <row r="5" spans="1:23" x14ac:dyDescent="0.15">
      <c r="A5" s="264" t="s">
        <v>111</v>
      </c>
      <c r="B5" s="264"/>
      <c r="C5" s="96"/>
      <c r="D5" s="96"/>
      <c r="E5" s="95"/>
      <c r="F5" s="95"/>
      <c r="G5" s="95"/>
    </row>
    <row r="6" spans="1:23" x14ac:dyDescent="0.15">
      <c r="A6" s="265" t="s">
        <v>112</v>
      </c>
      <c r="B6" s="265"/>
      <c r="C6" s="97"/>
      <c r="D6" s="97"/>
      <c r="E6" s="95"/>
      <c r="F6" s="95"/>
      <c r="G6" s="95"/>
    </row>
    <row r="7" spans="1:23" ht="15.75" customHeight="1" x14ac:dyDescent="0.15">
      <c r="A7" s="262" t="s">
        <v>27</v>
      </c>
      <c r="B7" s="262" t="s">
        <v>29</v>
      </c>
      <c r="C7" s="268" t="s">
        <v>77</v>
      </c>
      <c r="D7" s="268" t="s">
        <v>78</v>
      </c>
      <c r="E7" s="270" t="s">
        <v>94</v>
      </c>
      <c r="F7" s="271"/>
      <c r="G7" s="271"/>
      <c r="H7" s="272"/>
      <c r="I7" s="268" t="s">
        <v>79</v>
      </c>
      <c r="J7" s="268" t="s">
        <v>80</v>
      </c>
      <c r="K7" s="262" t="s">
        <v>32</v>
      </c>
    </row>
    <row r="8" spans="1:23" ht="15" customHeight="1" x14ac:dyDescent="0.15">
      <c r="A8" s="262"/>
      <c r="B8" s="262"/>
      <c r="C8" s="268"/>
      <c r="D8" s="268"/>
      <c r="E8" s="133" t="s">
        <v>96</v>
      </c>
      <c r="F8" s="133" t="s">
        <v>76</v>
      </c>
      <c r="G8" s="133" t="s">
        <v>103</v>
      </c>
      <c r="H8" s="133" t="s">
        <v>31</v>
      </c>
      <c r="I8" s="268"/>
      <c r="J8" s="268"/>
      <c r="K8" s="262"/>
    </row>
    <row r="9" spans="1:23" x14ac:dyDescent="0.15">
      <c r="A9" s="64" t="s">
        <v>81</v>
      </c>
      <c r="B9" s="64" t="s">
        <v>82</v>
      </c>
      <c r="C9" s="64" t="s">
        <v>83</v>
      </c>
      <c r="D9" s="64" t="s">
        <v>84</v>
      </c>
      <c r="E9" s="64" t="s">
        <v>85</v>
      </c>
      <c r="F9" s="64" t="s">
        <v>86</v>
      </c>
      <c r="G9" s="64" t="s">
        <v>87</v>
      </c>
      <c r="H9" s="64" t="s">
        <v>88</v>
      </c>
      <c r="I9" s="64" t="s">
        <v>89</v>
      </c>
      <c r="J9" s="64" t="s">
        <v>90</v>
      </c>
      <c r="K9" s="64" t="s">
        <v>91</v>
      </c>
      <c r="O9" s="269"/>
      <c r="P9" s="269"/>
    </row>
    <row r="10" spans="1:23" ht="45" x14ac:dyDescent="0.15">
      <c r="A10" s="91"/>
      <c r="B10" s="88"/>
      <c r="C10" s="88"/>
      <c r="D10" s="88"/>
      <c r="E10" s="87"/>
      <c r="F10" s="87"/>
      <c r="G10" s="87">
        <f>E10*F10</f>
      </c>
      <c r="H10" s="65"/>
      <c r="I10" s="89"/>
      <c r="J10" s="87"/>
      <c r="K10" s="87"/>
      <c r="O10" s="109"/>
      <c r="P10" s="110"/>
      <c r="Q10" s="111"/>
      <c r="R10" s="111"/>
      <c r="S10" s="111"/>
      <c r="T10" s="111"/>
      <c r="U10" s="111"/>
      <c r="V10" s="111"/>
      <c r="W10" s="112"/>
    </row>
    <row r="11" spans="1:23" ht="18" x14ac:dyDescent="0.15">
      <c r="A11" s="91"/>
      <c r="B11" s="113"/>
      <c r="C11" s="176"/>
      <c r="D11" s="176"/>
      <c r="E11" s="91"/>
      <c r="F11" s="91"/>
      <c r="G11" s="91"/>
      <c r="H11" s="91"/>
      <c r="I11" s="89"/>
      <c r="J11" s="87"/>
      <c r="K11" s="87"/>
      <c r="O11" s="109"/>
      <c r="P11" s="110"/>
      <c r="Q11" s="114"/>
      <c r="R11" s="114"/>
      <c r="S11" s="114"/>
      <c r="T11" s="114"/>
      <c r="U11" s="112"/>
      <c r="V11" s="115"/>
      <c r="W11" s="112"/>
    </row>
    <row r="12" spans="1:23" ht="18" x14ac:dyDescent="0.15">
      <c r="A12" s="91"/>
      <c r="B12" s="88"/>
      <c r="C12" s="65"/>
      <c r="D12" s="65"/>
      <c r="E12" s="91"/>
      <c r="F12" s="91"/>
      <c r="G12" s="91"/>
      <c r="H12" s="91"/>
      <c r="I12" s="89"/>
      <c r="J12" s="87"/>
      <c r="K12" s="87"/>
      <c r="O12" s="109"/>
      <c r="P12" s="110"/>
      <c r="Q12" s="117"/>
      <c r="R12" s="117"/>
      <c r="S12" s="117"/>
      <c r="T12" s="117"/>
      <c r="U12" s="117"/>
      <c r="V12" s="117"/>
      <c r="W12" s="117"/>
    </row>
    <row r="13" spans="1:23" ht="18" x14ac:dyDescent="0.15">
      <c r="A13" s="91"/>
      <c r="B13" s="88"/>
      <c r="C13" s="177"/>
      <c r="D13" s="177"/>
      <c r="E13" s="91"/>
      <c r="F13" s="91"/>
      <c r="G13" s="91"/>
      <c r="H13" s="91"/>
      <c r="I13" s="89"/>
      <c r="J13" s="87"/>
      <c r="K13" s="87"/>
      <c r="O13" s="109"/>
      <c r="P13" s="110"/>
      <c r="Q13" s="117"/>
      <c r="R13" s="117"/>
      <c r="S13" s="117"/>
      <c r="T13" s="117"/>
      <c r="U13" s="117"/>
      <c r="V13" s="117"/>
      <c r="W13" s="117"/>
    </row>
    <row r="14" spans="1:23" x14ac:dyDescent="0.15">
      <c r="A14" s="118"/>
      <c r="B14" s="119"/>
      <c r="C14" s="120"/>
      <c r="D14" s="119"/>
      <c r="E14" s="118"/>
      <c r="F14" s="118"/>
      <c r="G14" s="118"/>
      <c r="H14" s="118"/>
      <c r="I14" s="121"/>
      <c r="J14" s="122"/>
      <c r="K14" s="122"/>
      <c r="O14" s="109"/>
      <c r="P14" s="110"/>
    </row>
    <row r="15" spans="1:23" ht="18" x14ac:dyDescent="0.15">
      <c r="A15" s="91"/>
      <c r="B15" s="88"/>
      <c r="C15" s="65"/>
      <c r="D15" s="65"/>
      <c r="E15" s="87"/>
      <c r="F15" s="87"/>
      <c r="G15" s="87">
        <f>E15*F15</f>
      </c>
      <c r="H15" s="65"/>
      <c r="I15" s="89"/>
      <c r="J15" s="91"/>
      <c r="K15" s="87"/>
    </row>
    <row r="16" spans="1:23" ht="27" x14ac:dyDescent="0.15">
      <c r="A16" s="91"/>
      <c r="B16" s="113"/>
      <c r="C16" s="178"/>
      <c r="D16" s="178"/>
      <c r="E16" s="91"/>
      <c r="F16" s="91"/>
      <c r="G16" s="87"/>
      <c r="H16" s="65"/>
      <c r="I16" s="89"/>
      <c r="J16" s="87"/>
      <c r="K16" s="91"/>
    </row>
    <row r="17" spans="1:16" ht="24" customHeight="1" x14ac:dyDescent="0.15">
      <c r="A17" s="91"/>
      <c r="B17" s="113"/>
      <c r="C17" s="152"/>
      <c r="D17" s="88"/>
      <c r="E17" s="91"/>
      <c r="F17" s="91"/>
      <c r="G17" s="87"/>
      <c r="H17" s="65"/>
      <c r="I17" s="89"/>
      <c r="J17" s="87"/>
      <c r="K17" s="91"/>
    </row>
    <row r="18" spans="1:16" x14ac:dyDescent="0.15">
      <c r="A18" s="118"/>
      <c r="B18" s="119"/>
      <c r="C18" s="120"/>
      <c r="D18" s="119"/>
      <c r="E18" s="118"/>
      <c r="F18" s="118"/>
      <c r="G18" s="118"/>
      <c r="H18" s="118"/>
      <c r="I18" s="121"/>
      <c r="J18" s="122"/>
      <c r="K18" s="122"/>
      <c r="O18" s="109"/>
      <c r="P18" s="110"/>
    </row>
    <row r="19" spans="1:16" ht="18" x14ac:dyDescent="0.15">
      <c r="A19" s="91"/>
      <c r="B19" s="88"/>
      <c r="C19" s="88"/>
      <c r="D19" s="88"/>
      <c r="E19" s="91"/>
      <c r="F19" s="91"/>
      <c r="G19" s="91">
        <f t="shared" ref="G19" si="0">E19*F19</f>
      </c>
      <c r="H19" s="65"/>
      <c r="I19" s="89"/>
      <c r="J19" s="87"/>
      <c r="K19" s="91"/>
    </row>
    <row r="20" spans="1:16" ht="18" x14ac:dyDescent="0.15">
      <c r="A20" s="91"/>
      <c r="B20" s="113"/>
      <c r="C20" s="152"/>
      <c r="D20" s="152"/>
      <c r="E20" s="91"/>
      <c r="F20" s="91"/>
      <c r="G20" s="91"/>
      <c r="H20" s="91"/>
      <c r="I20" s="89"/>
      <c r="J20" s="91"/>
      <c r="K20" s="87"/>
    </row>
    <row r="21" spans="1:16" ht="27" x14ac:dyDescent="0.15">
      <c r="A21" s="91"/>
      <c r="B21" s="113"/>
      <c r="C21" s="151"/>
      <c r="D21" s="151"/>
      <c r="E21" s="91"/>
      <c r="F21" s="91"/>
      <c r="G21" s="91"/>
      <c r="H21" s="91"/>
      <c r="I21" s="89"/>
      <c r="J21" s="91"/>
      <c r="K21" s="87"/>
    </row>
    <row r="22" spans="1:16" x14ac:dyDescent="0.15">
      <c r="A22" s="91"/>
      <c r="B22" s="113"/>
      <c r="E22" s="91"/>
      <c r="F22" s="91"/>
      <c r="G22" s="91"/>
      <c r="H22" s="91"/>
      <c r="I22" s="89"/>
      <c r="J22" s="91"/>
      <c r="K22" s="87"/>
    </row>
    <row r="23" spans="1:16" x14ac:dyDescent="0.15">
      <c r="A23" s="118"/>
      <c r="B23" s="119"/>
      <c r="C23" s="120"/>
      <c r="D23" s="120"/>
      <c r="E23" s="118"/>
      <c r="F23" s="118"/>
      <c r="G23" s="118"/>
      <c r="H23" s="118"/>
      <c r="I23" s="121"/>
      <c r="J23" s="118"/>
      <c r="K23" s="118"/>
    </row>
    <row r="24" spans="1:16" ht="18" x14ac:dyDescent="0.15">
      <c r="A24" s="91"/>
      <c r="B24" s="88"/>
      <c r="C24" s="179"/>
      <c r="D24" s="179"/>
      <c r="E24" s="87"/>
      <c r="F24" s="87"/>
      <c r="G24" s="87">
        <f t="shared" ref="G24" si="1">E24*F24</f>
      </c>
      <c r="H24" s="87"/>
      <c r="I24" s="89"/>
      <c r="J24" s="91"/>
      <c r="K24" s="91"/>
    </row>
    <row r="25" spans="1:16" x14ac:dyDescent="0.15">
      <c r="A25" s="91"/>
      <c r="B25" s="88"/>
      <c r="C25" s="179"/>
      <c r="D25" s="179"/>
      <c r="E25" s="87"/>
      <c r="F25" s="87"/>
      <c r="G25" s="87"/>
      <c r="H25" s="87"/>
      <c r="I25" s="89"/>
      <c r="J25" s="91"/>
      <c r="K25" s="91"/>
    </row>
    <row r="26" spans="1:16" x14ac:dyDescent="0.15">
      <c r="A26" s="118"/>
      <c r="B26" s="119"/>
      <c r="C26" s="120"/>
      <c r="D26" s="120"/>
      <c r="E26" s="118"/>
      <c r="F26" s="118"/>
      <c r="G26" s="118"/>
      <c r="H26" s="118"/>
      <c r="I26" s="123"/>
      <c r="J26" s="118"/>
      <c r="K26" s="118"/>
    </row>
    <row r="27" spans="1:16" ht="27" x14ac:dyDescent="0.15">
      <c r="A27" s="91"/>
      <c r="B27" s="88"/>
      <c r="C27" s="88"/>
      <c r="D27" s="88"/>
      <c r="E27" s="91"/>
      <c r="F27" s="91"/>
      <c r="G27" s="91">
        <f>E27*F27</f>
      </c>
      <c r="H27" s="87"/>
      <c r="I27" s="89"/>
      <c r="J27" s="87"/>
      <c r="K27" s="91"/>
    </row>
    <row r="28" spans="1:16" ht="36" x14ac:dyDescent="0.15">
      <c r="A28" s="91"/>
      <c r="B28" s="88"/>
      <c r="C28" s="88"/>
      <c r="D28" s="88"/>
      <c r="E28" s="91"/>
      <c r="F28" s="91"/>
      <c r="G28" s="91"/>
      <c r="H28" s="91"/>
      <c r="I28" s="89"/>
      <c r="J28" s="87"/>
      <c r="K28" s="91"/>
    </row>
    <row r="29" spans="1:16" x14ac:dyDescent="0.15">
      <c r="A29" s="118"/>
      <c r="B29" s="119"/>
      <c r="C29" s="120"/>
      <c r="D29" s="120"/>
      <c r="E29" s="118"/>
      <c r="F29" s="118"/>
      <c r="G29" s="118"/>
      <c r="H29" s="118"/>
      <c r="I29" s="123"/>
      <c r="J29" s="118"/>
      <c r="K29" s="118"/>
    </row>
    <row r="30" spans="1:16" ht="36" x14ac:dyDescent="0.15">
      <c r="A30" s="91"/>
      <c r="B30" s="88"/>
      <c r="C30" s="176"/>
      <c r="D30" s="176"/>
      <c r="E30" s="87"/>
      <c r="F30" s="87"/>
      <c r="G30" s="87">
        <f t="shared" ref="G30" si="2">E30*F30</f>
      </c>
      <c r="H30" s="87"/>
      <c r="I30" s="89"/>
      <c r="J30" s="87"/>
      <c r="K30" s="124"/>
    </row>
    <row r="31" spans="1:16" ht="27" x14ac:dyDescent="0.15">
      <c r="A31" s="91"/>
      <c r="B31" s="88"/>
      <c r="C31" s="178"/>
      <c r="D31" s="178"/>
      <c r="E31" s="87"/>
      <c r="F31" s="87"/>
      <c r="G31" s="87"/>
      <c r="H31" s="87"/>
      <c r="I31" s="89"/>
      <c r="J31" s="87"/>
      <c r="K31" s="124"/>
    </row>
    <row r="32" spans="1:16" x14ac:dyDescent="0.15">
      <c r="A32" s="118"/>
      <c r="B32" s="125"/>
      <c r="C32" s="120"/>
      <c r="D32" s="126"/>
      <c r="E32" s="127"/>
      <c r="F32" s="127"/>
      <c r="G32" s="127"/>
      <c r="H32" s="127"/>
      <c r="I32" s="128"/>
      <c r="J32" s="127"/>
      <c r="K32" s="127"/>
    </row>
    <row r="33" spans="1:11" ht="27" x14ac:dyDescent="0.15">
      <c r="A33" s="91"/>
      <c r="B33" s="88"/>
      <c r="C33" s="65"/>
      <c r="D33" s="65"/>
      <c r="E33" s="87"/>
      <c r="F33" s="87"/>
      <c r="G33" s="87">
        <f>E33*F33</f>
      </c>
      <c r="H33" s="87"/>
      <c r="I33" s="89"/>
      <c r="J33" s="87"/>
      <c r="K33" s="124"/>
    </row>
    <row r="34" spans="1:11" x14ac:dyDescent="0.15">
      <c r="A34" s="91"/>
      <c r="B34" s="88"/>
      <c r="C34" s="88"/>
      <c r="D34" s="88"/>
      <c r="E34" s="91"/>
      <c r="F34" s="91"/>
      <c r="G34" s="91"/>
      <c r="H34" s="91"/>
      <c r="I34" s="89"/>
      <c r="J34" s="87"/>
      <c r="K34" s="124"/>
    </row>
    <row r="35" spans="1:11" x14ac:dyDescent="0.15">
      <c r="A35" s="91"/>
      <c r="B35" s="129"/>
      <c r="E35" s="91"/>
      <c r="F35" s="91"/>
      <c r="G35" s="91"/>
      <c r="H35" s="91"/>
      <c r="I35" s="89"/>
      <c r="J35" s="87"/>
      <c r="K35" s="124"/>
    </row>
    <row r="36" spans="1:11" x14ac:dyDescent="0.15">
      <c r="A36" s="118"/>
      <c r="B36" s="120"/>
      <c r="C36" s="120"/>
      <c r="D36" s="120"/>
      <c r="E36" s="118"/>
      <c r="F36" s="118"/>
      <c r="G36" s="118"/>
      <c r="H36" s="122"/>
      <c r="I36" s="121"/>
      <c r="J36" s="122"/>
      <c r="K36" s="127"/>
    </row>
    <row r="37" spans="1:11" ht="18" x14ac:dyDescent="0.15">
      <c r="A37" s="91"/>
      <c r="B37" s="88"/>
      <c r="C37" s="88"/>
      <c r="D37" s="88"/>
      <c r="E37" s="87"/>
      <c r="F37" s="87"/>
      <c r="G37" s="87">
        <f>E37*F37</f>
      </c>
      <c r="H37" s="87"/>
      <c r="I37" s="89"/>
      <c r="J37" s="87"/>
      <c r="K37" s="124"/>
    </row>
    <row r="38" spans="1:11" x14ac:dyDescent="0.15">
      <c r="A38" s="91"/>
      <c r="B38" s="129"/>
      <c r="C38" s="65"/>
      <c r="D38" s="65"/>
      <c r="E38" s="124"/>
      <c r="F38" s="124"/>
      <c r="G38" s="124"/>
      <c r="H38" s="124"/>
      <c r="I38" s="89"/>
      <c r="J38" s="91"/>
      <c r="K38" s="124"/>
    </row>
    <row r="39" spans="1:11" x14ac:dyDescent="0.15">
      <c r="A39" s="118"/>
      <c r="B39" s="120"/>
      <c r="C39" s="120"/>
      <c r="D39" s="120"/>
      <c r="E39" s="118"/>
      <c r="F39" s="118"/>
      <c r="G39" s="118"/>
      <c r="H39" s="122"/>
      <c r="I39" s="121"/>
      <c r="J39" s="122"/>
      <c r="K39" s="127"/>
    </row>
    <row r="40" spans="1:11" ht="27" x14ac:dyDescent="0.15">
      <c r="A40" s="91"/>
      <c r="B40" s="88"/>
      <c r="C40" s="65"/>
      <c r="D40" s="65"/>
      <c r="E40" s="91"/>
      <c r="F40" s="91"/>
      <c r="G40" s="91">
        <f>E40*F40</f>
      </c>
      <c r="H40" s="87"/>
      <c r="I40" s="89"/>
      <c r="J40" s="91"/>
      <c r="K40" s="124"/>
    </row>
    <row r="41" spans="1:11" ht="18" x14ac:dyDescent="0.15">
      <c r="A41" s="91"/>
      <c r="B41" s="130"/>
      <c r="C41" s="88"/>
      <c r="D41" s="88"/>
      <c r="E41" s="124"/>
      <c r="F41" s="124"/>
      <c r="G41" s="124"/>
      <c r="H41" s="124"/>
      <c r="I41" s="89"/>
      <c r="J41" s="91"/>
      <c r="K41" s="124"/>
    </row>
    <row r="42" spans="1:11" x14ac:dyDescent="0.15">
      <c r="A42" s="91"/>
      <c r="B42" s="130"/>
      <c r="C42" s="65"/>
      <c r="D42" s="65"/>
      <c r="E42" s="124"/>
      <c r="F42" s="124"/>
      <c r="G42" s="124"/>
      <c r="H42" s="124"/>
      <c r="I42" s="89"/>
      <c r="J42" s="91"/>
      <c r="K42" s="124"/>
    </row>
    <row r="43" spans="1:11" x14ac:dyDescent="0.15">
      <c r="A43" s="91"/>
      <c r="B43" s="130"/>
      <c r="C43" s="65"/>
      <c r="D43" s="65"/>
      <c r="E43" s="124"/>
      <c r="F43" s="124"/>
      <c r="G43" s="124"/>
      <c r="H43" s="124"/>
      <c r="I43" s="89"/>
      <c r="J43" s="91"/>
      <c r="K43" s="124"/>
    </row>
    <row r="44" spans="1:11" x14ac:dyDescent="0.15">
      <c r="A44" s="118"/>
      <c r="B44" s="131"/>
      <c r="C44" s="120"/>
      <c r="D44" s="120"/>
      <c r="E44" s="127"/>
      <c r="F44" s="127"/>
      <c r="G44" s="127"/>
      <c r="H44" s="127"/>
      <c r="I44" s="121"/>
      <c r="J44" s="118"/>
      <c r="K44" s="127"/>
    </row>
    <row r="45" spans="1:11" ht="36" x14ac:dyDescent="0.15">
      <c r="A45" s="91"/>
      <c r="B45" s="88"/>
      <c r="C45" s="65"/>
      <c r="D45" s="65"/>
      <c r="E45" s="91"/>
      <c r="F45" s="91"/>
      <c r="G45" s="91">
        <f>E45*F45</f>
      </c>
      <c r="H45" s="87"/>
      <c r="I45" s="89"/>
      <c r="J45" s="87"/>
      <c r="K45" s="124"/>
    </row>
    <row r="46" spans="1:11" ht="33" customHeight="1" x14ac:dyDescent="0.15">
      <c r="A46" s="91"/>
      <c r="B46" s="130"/>
      <c r="C46" s="88"/>
      <c r="D46" s="88"/>
      <c r="E46" s="124"/>
      <c r="F46" s="124"/>
      <c r="G46" s="124"/>
      <c r="H46" s="124"/>
      <c r="I46" s="89"/>
      <c r="J46" s="91"/>
      <c r="K46" s="124"/>
    </row>
    <row r="47" spans="1:11" x14ac:dyDescent="0.15">
      <c r="A47" s="118"/>
      <c r="B47" s="120"/>
      <c r="C47" s="120"/>
      <c r="D47" s="120"/>
      <c r="E47" s="118"/>
      <c r="F47" s="118"/>
      <c r="G47" s="118"/>
      <c r="H47" s="122"/>
      <c r="I47" s="121"/>
      <c r="J47" s="122"/>
      <c r="K47" s="127"/>
    </row>
    <row r="48" spans="1:11" ht="36" x14ac:dyDescent="0.15">
      <c r="A48" s="91"/>
      <c r="B48" s="88"/>
      <c r="C48" s="88"/>
      <c r="D48" s="88"/>
      <c r="E48" s="87"/>
      <c r="F48" s="87"/>
      <c r="G48" s="87">
        <f t="shared" ref="G48" si="3">E48*F48</f>
      </c>
      <c r="H48" s="87"/>
      <c r="I48" s="89"/>
      <c r="J48" s="92"/>
      <c r="K48" s="90"/>
    </row>
    <row r="49" spans="1:11" x14ac:dyDescent="0.15">
      <c r="A49" s="91"/>
      <c r="B49" s="88"/>
      <c r="C49" s="65"/>
      <c r="D49" s="65"/>
      <c r="E49" s="87"/>
      <c r="F49" s="87"/>
      <c r="G49" s="87"/>
      <c r="H49" s="87"/>
      <c r="I49" s="89"/>
      <c r="J49" s="92"/>
      <c r="K49" s="90"/>
    </row>
    <row r="50" spans="1:11" x14ac:dyDescent="0.15">
      <c r="A50" s="91"/>
      <c r="B50" s="90"/>
      <c r="C50" s="65"/>
      <c r="D50" s="65"/>
      <c r="E50" s="87"/>
      <c r="F50" s="87"/>
      <c r="G50" s="87"/>
      <c r="H50" s="87"/>
      <c r="I50" s="90"/>
      <c r="J50" s="90"/>
      <c r="K50" s="90"/>
    </row>
    <row r="51" spans="1:11" x14ac:dyDescent="0.15">
      <c r="A51" s="118"/>
      <c r="B51" s="132"/>
      <c r="C51" s="132"/>
      <c r="D51" s="132"/>
      <c r="E51" s="132"/>
      <c r="F51" s="132"/>
      <c r="G51" s="132"/>
      <c r="H51" s="132"/>
      <c r="I51" s="132"/>
      <c r="J51" s="132"/>
      <c r="K51" s="132"/>
    </row>
    <row r="52" spans="1:11" ht="45" x14ac:dyDescent="0.15">
      <c r="A52" s="91"/>
      <c r="B52" s="88"/>
      <c r="C52" s="65"/>
      <c r="D52" s="65"/>
      <c r="E52" s="91"/>
      <c r="F52" s="91"/>
      <c r="G52" s="87">
        <f>E52*F52</f>
      </c>
      <c r="H52" s="87"/>
      <c r="I52" s="89"/>
      <c r="J52" s="87"/>
      <c r="K52" s="90"/>
    </row>
    <row r="53" spans="1:11" x14ac:dyDescent="0.15">
      <c r="A53" s="118"/>
      <c r="B53" s="132"/>
      <c r="C53" s="132"/>
      <c r="D53" s="132"/>
      <c r="E53" s="132"/>
      <c r="F53" s="132"/>
      <c r="G53" s="132"/>
      <c r="H53" s="132"/>
      <c r="I53" s="132"/>
      <c r="J53" s="132"/>
      <c r="K53" s="132"/>
    </row>
    <row r="54" spans="1:11" ht="36" x14ac:dyDescent="0.15">
      <c r="A54" s="91"/>
      <c r="B54" s="88"/>
      <c r="C54" s="88"/>
      <c r="D54" s="88"/>
      <c r="E54" s="91"/>
      <c r="F54" s="91"/>
      <c r="G54" s="87">
        <f>E54*F54</f>
      </c>
      <c r="H54" s="87"/>
      <c r="I54" s="89"/>
      <c r="J54" s="87"/>
      <c r="K54" s="90"/>
    </row>
    <row r="55" spans="1:11" x14ac:dyDescent="0.15">
      <c r="A55" s="118"/>
      <c r="B55" s="132"/>
      <c r="C55" s="132"/>
      <c r="D55" s="132"/>
      <c r="E55" s="132"/>
      <c r="F55" s="132"/>
      <c r="G55" s="132"/>
      <c r="H55" s="132"/>
      <c r="I55" s="132"/>
      <c r="J55" s="132"/>
      <c r="K55" s="132"/>
    </row>
  </sheetData>
  <mergeCells count="13">
    <mergeCell ref="D2:G2"/>
    <mergeCell ref="A4:B4"/>
    <mergeCell ref="A5:B5"/>
    <mergeCell ref="A6:B6"/>
    <mergeCell ref="O9:P9"/>
    <mergeCell ref="E7:H7"/>
    <mergeCell ref="K7:K8"/>
    <mergeCell ref="D7:D8"/>
    <mergeCell ref="I7:I8"/>
    <mergeCell ref="J7:J8"/>
    <mergeCell ref="A7:A8"/>
    <mergeCell ref="B7:B8"/>
    <mergeCell ref="C7:C8"/>
  </mergeCells>
  <pageMargins left="0.39370078740157483" right="0.39370078740157483" top="0.39370078740157483" bottom="0.74803149606299213" header="0.31496062992125984" footer="0.31496062992125984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19CB-15CE-4659-A0D5-FA2A2AE29116}">
  <dimension ref="A2:T48"/>
  <sheetViews>
    <sheetView topLeftCell="A7" zoomScale="137" zoomScaleNormal="110" workbookViewId="0">
      <pane ySplit="2" topLeftCell="A45" activePane="bottomLeft" state="frozen"/>
      <selection activeCell="D30" sqref="D30:D31"/>
      <selection pane="bottomLeft" activeCell="B45" sqref="B45"/>
    </sheetView>
  </sheetViews>
  <sheetFormatPr defaultColWidth="9.140625" defaultRowHeight="9" x14ac:dyDescent="0.15"/>
  <cols>
    <col min="1" max="1" width="2.5703125" style="93" customWidth="1"/>
    <col min="2" max="2" width="8.140625" style="94" customWidth="1"/>
    <col min="3" max="3" width="9" style="94" customWidth="1"/>
    <col min="4" max="4" width="7.42578125" style="94" customWidth="1"/>
    <col min="5" max="5" width="8.42578125" style="94" customWidth="1"/>
    <col min="6" max="6" width="7.140625" style="116" customWidth="1"/>
    <col min="7" max="7" width="8.140625" style="94" customWidth="1"/>
    <col min="8" max="8" width="5.42578125" style="94" customWidth="1"/>
    <col min="9" max="9" width="4.7109375" style="94" customWidth="1"/>
    <col min="10" max="10" width="6" style="94" customWidth="1"/>
    <col min="11" max="11" width="8.28515625" style="94" customWidth="1"/>
    <col min="12" max="12" width="6.5703125" style="94" customWidth="1"/>
    <col min="13" max="13" width="6.28515625" style="94" customWidth="1"/>
    <col min="14" max="14" width="6.5703125" style="94" customWidth="1"/>
    <col min="15" max="15" width="8" style="94" customWidth="1"/>
    <col min="16" max="16" width="6.140625" style="94" customWidth="1"/>
    <col min="17" max="17" width="5.42578125" style="94" customWidth="1"/>
    <col min="18" max="18" width="5.7109375" style="94" customWidth="1"/>
    <col min="19" max="19" width="4.42578125" style="94" customWidth="1"/>
    <col min="20" max="20" width="11" style="94" customWidth="1"/>
    <col min="21" max="16384" width="9.140625" style="94"/>
  </cols>
  <sheetData>
    <row r="2" spans="1:20" x14ac:dyDescent="0.15">
      <c r="C2" s="269" t="s">
        <v>114</v>
      </c>
      <c r="D2" s="269"/>
      <c r="E2" s="269"/>
      <c r="F2" s="269"/>
      <c r="G2" s="269"/>
    </row>
    <row r="3" spans="1:20" x14ac:dyDescent="0.15">
      <c r="C3" s="95"/>
      <c r="D3" s="95"/>
      <c r="E3" s="95"/>
      <c r="F3" s="205"/>
      <c r="G3" s="95"/>
    </row>
    <row r="4" spans="1:20" x14ac:dyDescent="0.15">
      <c r="A4" s="264" t="s">
        <v>110</v>
      </c>
      <c r="B4" s="264"/>
      <c r="C4" s="96"/>
      <c r="D4" s="95"/>
      <c r="E4" s="95"/>
      <c r="F4" s="205"/>
      <c r="G4" s="95"/>
    </row>
    <row r="5" spans="1:20" x14ac:dyDescent="0.15">
      <c r="A5" s="264" t="s">
        <v>111</v>
      </c>
      <c r="B5" s="264"/>
      <c r="C5" s="96"/>
      <c r="D5" s="95"/>
      <c r="E5" s="95"/>
      <c r="F5" s="205"/>
      <c r="G5" s="95"/>
    </row>
    <row r="6" spans="1:20" x14ac:dyDescent="0.15">
      <c r="A6" s="265" t="s">
        <v>112</v>
      </c>
      <c r="B6" s="265"/>
      <c r="C6" s="97"/>
      <c r="D6" s="98"/>
      <c r="E6" s="95"/>
      <c r="F6" s="205"/>
      <c r="G6" s="98"/>
    </row>
    <row r="7" spans="1:20" ht="13.5" customHeight="1" x14ac:dyDescent="0.15">
      <c r="A7" s="268" t="s">
        <v>27</v>
      </c>
      <c r="B7" s="268" t="s">
        <v>29</v>
      </c>
      <c r="C7" s="268" t="s">
        <v>78</v>
      </c>
      <c r="D7" s="268" t="s">
        <v>95</v>
      </c>
      <c r="E7" s="260" t="s">
        <v>79</v>
      </c>
      <c r="F7" s="260" t="s">
        <v>80</v>
      </c>
      <c r="G7" s="273" t="s">
        <v>140</v>
      </c>
      <c r="H7" s="274"/>
      <c r="I7" s="274"/>
      <c r="J7" s="275"/>
      <c r="K7" s="273" t="s">
        <v>141</v>
      </c>
      <c r="L7" s="274"/>
      <c r="M7" s="274"/>
      <c r="N7" s="275"/>
      <c r="O7" s="273" t="s">
        <v>267</v>
      </c>
      <c r="P7" s="274"/>
      <c r="Q7" s="274"/>
      <c r="R7" s="275"/>
      <c r="S7" s="260" t="s">
        <v>269</v>
      </c>
      <c r="T7" s="260" t="s">
        <v>32</v>
      </c>
    </row>
    <row r="8" spans="1:20" ht="15" customHeight="1" x14ac:dyDescent="0.15">
      <c r="A8" s="268"/>
      <c r="B8" s="268"/>
      <c r="C8" s="268"/>
      <c r="D8" s="268"/>
      <c r="E8" s="276"/>
      <c r="F8" s="276"/>
      <c r="G8" s="154" t="s">
        <v>96</v>
      </c>
      <c r="H8" s="154" t="s">
        <v>76</v>
      </c>
      <c r="I8" s="154" t="s">
        <v>103</v>
      </c>
      <c r="J8" s="154" t="s">
        <v>31</v>
      </c>
      <c r="K8" s="154" t="s">
        <v>96</v>
      </c>
      <c r="L8" s="154" t="s">
        <v>76</v>
      </c>
      <c r="M8" s="154" t="s">
        <v>103</v>
      </c>
      <c r="N8" s="154" t="s">
        <v>31</v>
      </c>
      <c r="O8" s="154" t="s">
        <v>96</v>
      </c>
      <c r="P8" s="154" t="s">
        <v>76</v>
      </c>
      <c r="Q8" s="154" t="s">
        <v>103</v>
      </c>
      <c r="R8" s="154" t="s">
        <v>31</v>
      </c>
      <c r="S8" s="276"/>
      <c r="T8" s="276"/>
    </row>
    <row r="9" spans="1:20" x14ac:dyDescent="0.15">
      <c r="A9" s="180" t="s">
        <v>81</v>
      </c>
      <c r="B9" s="180" t="s">
        <v>82</v>
      </c>
      <c r="C9" s="180" t="s">
        <v>83</v>
      </c>
      <c r="D9" s="180" t="s">
        <v>84</v>
      </c>
      <c r="E9" s="180" t="s">
        <v>85</v>
      </c>
      <c r="F9" s="180" t="s">
        <v>86</v>
      </c>
      <c r="G9" s="181" t="s">
        <v>87</v>
      </c>
      <c r="H9" s="181" t="s">
        <v>88</v>
      </c>
      <c r="I9" s="181" t="s">
        <v>89</v>
      </c>
      <c r="J9" s="181" t="s">
        <v>90</v>
      </c>
      <c r="K9" s="181" t="s">
        <v>91</v>
      </c>
      <c r="L9" s="181" t="s">
        <v>92</v>
      </c>
      <c r="M9" s="181" t="s">
        <v>102</v>
      </c>
      <c r="N9" s="181" t="s">
        <v>142</v>
      </c>
      <c r="O9" s="181" t="s">
        <v>143</v>
      </c>
      <c r="P9" s="181" t="s">
        <v>144</v>
      </c>
      <c r="Q9" s="181" t="s">
        <v>145</v>
      </c>
      <c r="R9" s="181" t="s">
        <v>148</v>
      </c>
      <c r="S9" s="181" t="s">
        <v>149</v>
      </c>
      <c r="T9" s="181"/>
    </row>
    <row r="10" spans="1:20" ht="117" x14ac:dyDescent="0.15">
      <c r="A10" s="184"/>
      <c r="B10" s="187"/>
      <c r="C10" s="209"/>
      <c r="D10" s="209"/>
      <c r="E10" s="196"/>
      <c r="F10" s="65"/>
      <c r="G10" s="193"/>
      <c r="H10" s="190"/>
      <c r="I10" s="190">
        <f>G10*H10</f>
      </c>
      <c r="J10" s="191"/>
      <c r="K10" s="190"/>
      <c r="L10" s="190"/>
      <c r="M10" s="190">
        <f>K10*L10</f>
      </c>
      <c r="N10" s="191"/>
      <c r="O10" s="190"/>
      <c r="P10" s="190"/>
      <c r="Q10" s="190">
        <f>O10*P10</f>
      </c>
      <c r="R10" s="191"/>
      <c r="S10" s="192"/>
      <c r="T10" s="90"/>
    </row>
    <row r="11" spans="1:20" ht="108" x14ac:dyDescent="0.15">
      <c r="A11" s="185"/>
      <c r="B11" s="188"/>
      <c r="C11" s="209"/>
      <c r="D11" s="209"/>
      <c r="E11" s="196"/>
      <c r="F11" s="65"/>
      <c r="G11" s="194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65"/>
    </row>
    <row r="12" spans="1:20" ht="36" x14ac:dyDescent="0.15">
      <c r="A12" s="185"/>
      <c r="B12" s="188"/>
      <c r="C12" s="210"/>
      <c r="D12" s="65"/>
      <c r="E12" s="92"/>
      <c r="F12" s="65"/>
      <c r="G12" s="194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90"/>
    </row>
    <row r="13" spans="1:20" ht="45" x14ac:dyDescent="0.15">
      <c r="A13" s="185"/>
      <c r="B13" s="188"/>
      <c r="C13" s="210"/>
      <c r="D13" s="65"/>
      <c r="E13" s="92"/>
      <c r="F13" s="65"/>
      <c r="G13" s="194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90"/>
    </row>
    <row r="14" spans="1:20" ht="207" x14ac:dyDescent="0.15">
      <c r="A14" s="186"/>
      <c r="B14" s="189"/>
      <c r="C14" s="65"/>
      <c r="D14" s="65"/>
      <c r="E14" s="92"/>
      <c r="F14" s="65"/>
      <c r="G14" s="195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90"/>
    </row>
    <row r="15" spans="1:20" x14ac:dyDescent="0.15">
      <c r="A15" s="197"/>
      <c r="B15" s="198"/>
      <c r="C15" s="198"/>
      <c r="D15" s="198"/>
      <c r="E15" s="198"/>
      <c r="F15" s="206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9"/>
    </row>
    <row r="16" spans="1:20" ht="137.25" customHeight="1" x14ac:dyDescent="0.15">
      <c r="A16" s="184"/>
      <c r="B16" s="187"/>
      <c r="C16" s="210"/>
      <c r="D16" s="210"/>
      <c r="E16" s="196"/>
      <c r="F16" s="65"/>
      <c r="G16" s="193"/>
      <c r="H16" s="190"/>
      <c r="I16" s="190">
        <f>G16*H16</f>
      </c>
      <c r="J16" s="191"/>
      <c r="K16" s="193"/>
      <c r="L16" s="190"/>
      <c r="M16" s="190">
        <f>K16*L16</f>
      </c>
      <c r="N16" s="191"/>
      <c r="O16" s="190"/>
      <c r="P16" s="190"/>
      <c r="Q16" s="190">
        <f>O16*P16</f>
      </c>
      <c r="R16" s="191"/>
      <c r="S16" s="192"/>
      <c r="T16" s="90"/>
    </row>
    <row r="17" spans="1:20" ht="135" x14ac:dyDescent="0.15">
      <c r="A17" s="186"/>
      <c r="B17" s="189"/>
      <c r="C17" s="209"/>
      <c r="D17" s="65"/>
      <c r="E17" s="196"/>
      <c r="F17" s="65"/>
      <c r="G17" s="195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90"/>
    </row>
    <row r="18" spans="1:20" x14ac:dyDescent="0.15">
      <c r="A18" s="197"/>
      <c r="B18" s="198"/>
      <c r="C18" s="198"/>
      <c r="D18" s="198"/>
      <c r="E18" s="198"/>
      <c r="F18" s="206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9"/>
    </row>
    <row r="19" spans="1:20" ht="45" x14ac:dyDescent="0.15">
      <c r="A19" s="184"/>
      <c r="B19" s="187"/>
      <c r="C19" s="209"/>
      <c r="D19" s="92"/>
      <c r="E19" s="90"/>
      <c r="F19" s="65"/>
      <c r="G19" s="193"/>
      <c r="H19" s="190"/>
      <c r="I19" s="190">
        <f t="shared" ref="I19" si="0">G19*H19</f>
      </c>
      <c r="J19" s="190"/>
      <c r="K19" s="184"/>
      <c r="L19" s="184"/>
      <c r="M19" s="184">
        <f t="shared" ref="M19" si="1">K19*L19</f>
      </c>
      <c r="N19" s="191"/>
      <c r="O19" s="184"/>
      <c r="P19" s="184"/>
      <c r="Q19" s="184">
        <f t="shared" ref="Q19" si="2">O19*P19</f>
      </c>
      <c r="R19" s="191"/>
      <c r="S19" s="192"/>
      <c r="T19" s="90"/>
    </row>
    <row r="20" spans="1:20" ht="63" x14ac:dyDescent="0.15">
      <c r="A20" s="185"/>
      <c r="B20" s="188"/>
      <c r="C20" s="209"/>
      <c r="D20" s="209"/>
      <c r="E20" s="196"/>
      <c r="F20" s="65"/>
      <c r="G20" s="194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90"/>
    </row>
    <row r="21" spans="1:20" ht="63" x14ac:dyDescent="0.15">
      <c r="A21" s="186"/>
      <c r="B21" s="189"/>
      <c r="C21" s="210"/>
      <c r="D21" s="210"/>
      <c r="E21" s="196"/>
      <c r="F21" s="65"/>
      <c r="G21" s="195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90"/>
    </row>
    <row r="22" spans="1:20" x14ac:dyDescent="0.15">
      <c r="A22" s="197"/>
      <c r="B22" s="198"/>
      <c r="C22" s="198"/>
      <c r="D22" s="198"/>
      <c r="E22" s="198"/>
      <c r="F22" s="206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9"/>
    </row>
    <row r="23" spans="1:20" ht="54" x14ac:dyDescent="0.15">
      <c r="A23" s="91"/>
      <c r="B23" s="88"/>
      <c r="C23" s="211"/>
      <c r="D23" s="211"/>
      <c r="E23" s="196"/>
      <c r="F23" s="65"/>
      <c r="G23" s="87"/>
      <c r="H23" s="87"/>
      <c r="I23" s="87">
        <f t="shared" ref="I23" si="3">G23*H23</f>
      </c>
      <c r="J23" s="87"/>
      <c r="K23" s="87"/>
      <c r="L23" s="87"/>
      <c r="M23" s="87">
        <f t="shared" ref="M23" si="4">K23*L23</f>
      </c>
      <c r="N23" s="87"/>
      <c r="O23" s="87"/>
      <c r="P23" s="87"/>
      <c r="Q23" s="87">
        <f t="shared" ref="Q23" si="5">O23*P23</f>
      </c>
      <c r="R23" s="87"/>
      <c r="S23" s="90"/>
      <c r="T23" s="65"/>
    </row>
    <row r="24" spans="1:20" x14ac:dyDescent="0.15">
      <c r="A24" s="182"/>
      <c r="B24" s="183"/>
      <c r="C24" s="183"/>
      <c r="D24" s="183"/>
      <c r="E24" s="183"/>
      <c r="F24" s="207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</row>
    <row r="25" spans="1:20" ht="45" x14ac:dyDescent="0.15">
      <c r="A25" s="184"/>
      <c r="B25" s="187"/>
      <c r="C25" s="209"/>
      <c r="D25" s="65"/>
      <c r="E25" s="90"/>
      <c r="F25" s="65"/>
      <c r="G25" s="202"/>
      <c r="H25" s="184"/>
      <c r="I25" s="184">
        <f>G25*H25</f>
      </c>
      <c r="J25" s="190"/>
      <c r="K25" s="184"/>
      <c r="L25" s="184"/>
      <c r="M25" s="184">
        <f>K25*L25</f>
      </c>
      <c r="N25" s="190"/>
      <c r="O25" s="184"/>
      <c r="P25" s="184"/>
      <c r="Q25" s="184">
        <f>O25*P25</f>
      </c>
      <c r="R25" s="190"/>
      <c r="S25" s="192"/>
      <c r="T25" s="90"/>
    </row>
    <row r="26" spans="1:20" ht="63" x14ac:dyDescent="0.15">
      <c r="A26" s="186"/>
      <c r="B26" s="200"/>
      <c r="C26" s="209"/>
      <c r="D26" s="65"/>
      <c r="E26" s="90"/>
      <c r="F26" s="65"/>
      <c r="G26" s="203"/>
      <c r="H26" s="186"/>
      <c r="I26" s="186"/>
      <c r="J26" s="201"/>
      <c r="K26" s="189"/>
      <c r="L26" s="189"/>
      <c r="M26" s="189"/>
      <c r="N26" s="189"/>
      <c r="O26" s="186"/>
      <c r="P26" s="186"/>
      <c r="Q26" s="186"/>
      <c r="R26" s="201"/>
      <c r="S26" s="189"/>
      <c r="T26" s="90"/>
    </row>
    <row r="27" spans="1:20" x14ac:dyDescent="0.15">
      <c r="A27" s="197"/>
      <c r="B27" s="198"/>
      <c r="C27" s="198"/>
      <c r="D27" s="198"/>
      <c r="E27" s="198"/>
      <c r="F27" s="206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9"/>
    </row>
    <row r="28" spans="1:20" ht="108" x14ac:dyDescent="0.15">
      <c r="A28" s="184"/>
      <c r="B28" s="187"/>
      <c r="C28" s="88"/>
      <c r="D28" s="88"/>
      <c r="E28" s="208"/>
      <c r="F28" s="65"/>
      <c r="G28" s="193"/>
      <c r="H28" s="190"/>
      <c r="I28" s="190">
        <f t="shared" ref="I28" si="6">G28*H28</f>
      </c>
      <c r="J28" s="190"/>
      <c r="K28" s="190"/>
      <c r="L28" s="190"/>
      <c r="M28" s="190">
        <f t="shared" ref="M28" si="7">K28*L28</f>
      </c>
      <c r="N28" s="190"/>
      <c r="O28" s="190"/>
      <c r="P28" s="190"/>
      <c r="Q28" s="190">
        <f t="shared" ref="Q28" si="8">O28*P28</f>
      </c>
      <c r="R28" s="190"/>
      <c r="S28" s="192"/>
      <c r="T28" s="65"/>
    </row>
    <row r="29" spans="1:20" ht="135" x14ac:dyDescent="0.15">
      <c r="A29" s="186"/>
      <c r="B29" s="189"/>
      <c r="C29" s="88"/>
      <c r="D29" s="65"/>
      <c r="E29" s="208"/>
      <c r="F29" s="65"/>
      <c r="G29" s="195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90"/>
    </row>
    <row r="30" spans="1:20" x14ac:dyDescent="0.15">
      <c r="A30" s="197"/>
      <c r="B30" s="198"/>
      <c r="C30" s="198"/>
      <c r="D30" s="198"/>
      <c r="E30" s="198"/>
      <c r="F30" s="206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9"/>
    </row>
    <row r="31" spans="1:20" ht="63" x14ac:dyDescent="0.15">
      <c r="A31" s="184"/>
      <c r="B31" s="187"/>
      <c r="C31" s="210"/>
      <c r="D31" s="92"/>
      <c r="E31" s="90"/>
      <c r="F31" s="65"/>
      <c r="G31" s="193"/>
      <c r="H31" s="190"/>
      <c r="I31" s="190">
        <f>G31*H31</f>
      </c>
      <c r="J31" s="190"/>
      <c r="K31" s="190"/>
      <c r="L31" s="190"/>
      <c r="M31" s="190">
        <f>K31*L31</f>
      </c>
      <c r="N31" s="190"/>
      <c r="O31" s="190"/>
      <c r="P31" s="190"/>
      <c r="Q31" s="190">
        <f>O31*P31</f>
      </c>
      <c r="R31" s="190"/>
      <c r="S31" s="192"/>
      <c r="T31" s="90"/>
    </row>
    <row r="32" spans="1:20" ht="18" x14ac:dyDescent="0.15">
      <c r="A32" s="186"/>
      <c r="B32" s="189"/>
      <c r="C32" s="209"/>
      <c r="D32" s="92"/>
      <c r="E32" s="90"/>
      <c r="F32" s="65"/>
      <c r="G32" s="195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90"/>
    </row>
    <row r="33" spans="1:20" x14ac:dyDescent="0.15">
      <c r="A33" s="197"/>
      <c r="B33" s="198"/>
      <c r="C33" s="198"/>
      <c r="D33" s="198"/>
      <c r="E33" s="198"/>
      <c r="F33" s="206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9"/>
    </row>
    <row r="34" spans="1:20" ht="72" x14ac:dyDescent="0.15">
      <c r="A34" s="91"/>
      <c r="B34" s="88"/>
      <c r="C34" s="209"/>
      <c r="D34" s="65"/>
      <c r="E34" s="90"/>
      <c r="F34" s="65"/>
      <c r="G34" s="87"/>
      <c r="H34" s="87"/>
      <c r="I34" s="87">
        <f>G34*H34</f>
      </c>
      <c r="J34" s="87"/>
      <c r="K34" s="87"/>
      <c r="L34" s="87"/>
      <c r="M34" s="87">
        <f>K34*L34</f>
      </c>
      <c r="N34" s="87"/>
      <c r="O34" s="87"/>
      <c r="P34" s="87"/>
      <c r="Q34" s="87">
        <f>O34*P34</f>
      </c>
      <c r="R34" s="87"/>
      <c r="S34" s="90"/>
      <c r="T34" s="90"/>
    </row>
    <row r="35" spans="1:20" x14ac:dyDescent="0.15">
      <c r="A35" s="197"/>
      <c r="B35" s="198"/>
      <c r="C35" s="198"/>
      <c r="D35" s="198"/>
      <c r="E35" s="198"/>
      <c r="F35" s="206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9"/>
    </row>
    <row r="36" spans="1:20" ht="54" x14ac:dyDescent="0.15">
      <c r="A36" s="184"/>
      <c r="B36" s="187"/>
      <c r="C36" s="210"/>
      <c r="D36" s="92"/>
      <c r="E36" s="90"/>
      <c r="F36" s="65"/>
      <c r="G36" s="202"/>
      <c r="H36" s="184"/>
      <c r="I36" s="184">
        <f>G36*H36</f>
      </c>
      <c r="J36" s="190"/>
      <c r="K36" s="184"/>
      <c r="L36" s="184"/>
      <c r="M36" s="184">
        <f>K36*L36</f>
      </c>
      <c r="N36" s="190"/>
      <c r="O36" s="184"/>
      <c r="P36" s="184"/>
      <c r="Q36" s="184">
        <f>O36*P36</f>
      </c>
      <c r="R36" s="190"/>
      <c r="S36" s="192"/>
      <c r="T36" s="90"/>
    </row>
    <row r="37" spans="1:20" ht="45" x14ac:dyDescent="0.15">
      <c r="A37" s="185"/>
      <c r="B37" s="188"/>
      <c r="C37" s="209"/>
      <c r="D37" s="65"/>
      <c r="E37" s="90"/>
      <c r="F37" s="65"/>
      <c r="G37" s="194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90"/>
    </row>
    <row r="38" spans="1:20" ht="189" x14ac:dyDescent="0.15">
      <c r="A38" s="186"/>
      <c r="B38" s="189"/>
      <c r="C38" s="65"/>
      <c r="D38" s="65"/>
      <c r="E38" s="204"/>
      <c r="F38" s="65"/>
      <c r="G38" s="195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65"/>
    </row>
    <row r="39" spans="1:20" x14ac:dyDescent="0.15">
      <c r="A39" s="197"/>
      <c r="B39" s="198"/>
      <c r="C39" s="198"/>
      <c r="D39" s="198"/>
      <c r="E39" s="198"/>
      <c r="F39" s="206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9"/>
    </row>
    <row r="40" spans="1:20" ht="81" x14ac:dyDescent="0.15">
      <c r="A40" s="91"/>
      <c r="B40" s="88"/>
      <c r="C40" s="210"/>
      <c r="D40" s="65"/>
      <c r="E40" s="90"/>
      <c r="F40" s="65"/>
      <c r="G40" s="91"/>
      <c r="H40" s="91"/>
      <c r="I40" s="91">
        <f>G40*H40</f>
      </c>
      <c r="J40" s="87"/>
      <c r="K40" s="91"/>
      <c r="L40" s="91"/>
      <c r="M40" s="91">
        <f>K40*L40</f>
      </c>
      <c r="N40" s="87"/>
      <c r="O40" s="91"/>
      <c r="P40" s="91"/>
      <c r="Q40" s="91">
        <f>O40*P40</f>
      </c>
      <c r="R40" s="87"/>
      <c r="S40" s="90"/>
      <c r="T40" s="90"/>
    </row>
    <row r="41" spans="1:20" x14ac:dyDescent="0.15">
      <c r="A41" s="197"/>
      <c r="B41" s="198"/>
      <c r="C41" s="198"/>
      <c r="D41" s="198"/>
      <c r="E41" s="198"/>
      <c r="F41" s="206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9"/>
    </row>
    <row r="42" spans="1:20" ht="63" x14ac:dyDescent="0.15">
      <c r="A42" s="184"/>
      <c r="B42" s="187"/>
      <c r="C42" s="209"/>
      <c r="D42" s="65"/>
      <c r="E42" s="90"/>
      <c r="F42" s="65"/>
      <c r="G42" s="193"/>
      <c r="H42" s="190"/>
      <c r="I42" s="190">
        <f t="shared" ref="I42" si="9">G42*H42</f>
      </c>
      <c r="J42" s="190"/>
      <c r="K42" s="190"/>
      <c r="L42" s="190"/>
      <c r="M42" s="190">
        <f t="shared" ref="M42" si="10">K42*L42</f>
      </c>
      <c r="N42" s="190"/>
      <c r="O42" s="190"/>
      <c r="P42" s="190"/>
      <c r="Q42" s="190">
        <f t="shared" ref="Q42" si="11">O42*P42</f>
      </c>
      <c r="R42" s="190"/>
      <c r="S42" s="192"/>
      <c r="T42" s="90"/>
    </row>
    <row r="43" spans="1:20" ht="189" x14ac:dyDescent="0.15">
      <c r="A43" s="186"/>
      <c r="B43" s="189"/>
      <c r="C43" s="65"/>
      <c r="D43" s="65"/>
      <c r="E43" s="204"/>
      <c r="F43" s="65"/>
      <c r="G43" s="195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90"/>
    </row>
    <row r="44" spans="1:20" x14ac:dyDescent="0.15">
      <c r="A44" s="197"/>
      <c r="B44" s="198"/>
      <c r="C44" s="198"/>
      <c r="D44" s="198"/>
      <c r="E44" s="198"/>
      <c r="F44" s="206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9"/>
    </row>
    <row r="45" spans="1:20" ht="99" x14ac:dyDescent="0.15">
      <c r="A45" s="91"/>
      <c r="B45" s="88"/>
      <c r="C45" s="210"/>
      <c r="D45" s="65"/>
      <c r="E45" s="90"/>
      <c r="F45" s="65"/>
      <c r="G45" s="87"/>
      <c r="H45" s="87"/>
      <c r="I45" s="87">
        <f>G45*H45</f>
      </c>
      <c r="J45" s="87"/>
      <c r="K45" s="87"/>
      <c r="L45" s="87"/>
      <c r="M45" s="87">
        <f>K45*L45</f>
      </c>
      <c r="N45" s="87"/>
      <c r="O45" s="91"/>
      <c r="P45" s="91"/>
      <c r="Q45" s="87">
        <f>O45*P45</f>
      </c>
      <c r="R45" s="87"/>
      <c r="S45" s="90"/>
      <c r="T45" s="90"/>
    </row>
    <row r="46" spans="1:20" x14ac:dyDescent="0.15">
      <c r="A46" s="197"/>
      <c r="B46" s="198"/>
      <c r="C46" s="198"/>
      <c r="D46" s="198"/>
      <c r="E46" s="198"/>
      <c r="F46" s="206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9"/>
    </row>
    <row r="47" spans="1:20" ht="72" x14ac:dyDescent="0.15">
      <c r="A47" s="91"/>
      <c r="B47" s="88"/>
      <c r="C47" s="91"/>
      <c r="D47" s="90"/>
      <c r="E47" s="90"/>
      <c r="F47" s="65"/>
      <c r="G47" s="87"/>
      <c r="H47" s="87"/>
      <c r="I47" s="87">
        <f>G47*H47</f>
      </c>
      <c r="J47" s="87"/>
      <c r="K47" s="87"/>
      <c r="L47" s="87"/>
      <c r="M47" s="87">
        <f>K47*L47</f>
      </c>
      <c r="N47" s="87"/>
      <c r="O47" s="91"/>
      <c r="P47" s="91"/>
      <c r="Q47" s="87">
        <f>O47*P47</f>
      </c>
      <c r="R47" s="87"/>
      <c r="S47" s="90"/>
      <c r="T47" s="90"/>
    </row>
    <row r="48" spans="1:20" x14ac:dyDescent="0.15">
      <c r="A48" s="197"/>
      <c r="B48" s="198"/>
      <c r="C48" s="198"/>
      <c r="D48" s="198"/>
      <c r="E48" s="198"/>
      <c r="F48" s="206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9"/>
    </row>
  </sheetData>
  <mergeCells count="15">
    <mergeCell ref="A4:B4"/>
    <mergeCell ref="A5:B5"/>
    <mergeCell ref="A6:B6"/>
    <mergeCell ref="A7:A8"/>
    <mergeCell ref="B7:B8"/>
    <mergeCell ref="K7:N7"/>
    <mergeCell ref="O7:R7"/>
    <mergeCell ref="S7:S8"/>
    <mergeCell ref="T7:T8"/>
    <mergeCell ref="C2:G2"/>
    <mergeCell ref="C7:C8"/>
    <mergeCell ref="D7:D8"/>
    <mergeCell ref="E7:E8"/>
    <mergeCell ref="F7:F8"/>
    <mergeCell ref="G7:J7"/>
  </mergeCells>
  <pageMargins left="0.39370078740157483" right="0.39370078740157483" top="1.1811023622047245" bottom="0.39370078740157483" header="0.31496062992125984" footer="0.31496062992125984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857D-8F17-4693-AF22-89B9090C2D2B}">
  <dimension ref="A2:T50"/>
  <sheetViews>
    <sheetView topLeftCell="A7" zoomScale="130" zoomScaleNormal="130" workbookViewId="0">
      <pane ySplit="2" topLeftCell="A16" activePane="bottomLeft" state="frozen"/>
      <selection activeCell="D30" sqref="D30:D31"/>
      <selection pane="bottomLeft" activeCell="K18" sqref="K18"/>
    </sheetView>
  </sheetViews>
  <sheetFormatPr defaultColWidth="9.140625" defaultRowHeight="9" x14ac:dyDescent="0.15"/>
  <cols>
    <col min="1" max="1" width="2.5703125" style="93" customWidth="1"/>
    <col min="2" max="2" width="8.140625" style="94" customWidth="1"/>
    <col min="3" max="3" width="9" style="94" customWidth="1"/>
    <col min="4" max="4" width="7.42578125" style="94" customWidth="1"/>
    <col min="5" max="5" width="8.42578125" style="94" customWidth="1"/>
    <col min="6" max="6" width="7.140625" style="116" customWidth="1"/>
    <col min="7" max="7" width="8.140625" style="94" customWidth="1"/>
    <col min="8" max="8" width="5.42578125" style="94" customWidth="1"/>
    <col min="9" max="9" width="4.7109375" style="94" customWidth="1"/>
    <col min="10" max="10" width="6" style="94" customWidth="1"/>
    <col min="11" max="11" width="8.28515625" style="94" customWidth="1"/>
    <col min="12" max="12" width="6.5703125" style="94" customWidth="1"/>
    <col min="13" max="13" width="6.28515625" style="94" customWidth="1"/>
    <col min="14" max="14" width="6.5703125" style="94" customWidth="1"/>
    <col min="15" max="15" width="8" style="94" customWidth="1"/>
    <col min="16" max="16" width="6.140625" style="94" customWidth="1"/>
    <col min="17" max="17" width="5.42578125" style="94" customWidth="1"/>
    <col min="18" max="18" width="5.7109375" style="94" customWidth="1"/>
    <col min="19" max="19" width="4.42578125" style="94" customWidth="1"/>
    <col min="20" max="20" width="11" style="94" customWidth="1"/>
    <col min="21" max="16384" width="9.140625" style="94"/>
  </cols>
  <sheetData>
    <row r="2" spans="1:20" x14ac:dyDescent="0.15">
      <c r="C2" s="269" t="s">
        <v>114</v>
      </c>
      <c r="D2" s="269"/>
      <c r="E2" s="269"/>
      <c r="F2" s="269"/>
      <c r="G2" s="269"/>
    </row>
    <row r="3" spans="1:20" x14ac:dyDescent="0.15">
      <c r="C3" s="95"/>
      <c r="D3" s="95"/>
      <c r="E3" s="95"/>
      <c r="F3" s="205"/>
      <c r="G3" s="95"/>
    </row>
    <row r="4" spans="1:20" x14ac:dyDescent="0.15">
      <c r="A4" s="264" t="s">
        <v>110</v>
      </c>
      <c r="B4" s="264"/>
      <c r="C4" s="96"/>
      <c r="D4" s="95"/>
      <c r="E4" s="95"/>
      <c r="F4" s="205"/>
      <c r="G4" s="95"/>
    </row>
    <row r="5" spans="1:20" x14ac:dyDescent="0.15">
      <c r="A5" s="264" t="s">
        <v>111</v>
      </c>
      <c r="B5" s="264"/>
      <c r="C5" s="96"/>
      <c r="D5" s="95"/>
      <c r="E5" s="95"/>
      <c r="F5" s="205"/>
      <c r="G5" s="95"/>
    </row>
    <row r="6" spans="1:20" x14ac:dyDescent="0.15">
      <c r="A6" s="265" t="s">
        <v>112</v>
      </c>
      <c r="B6" s="265"/>
      <c r="C6" s="97"/>
      <c r="D6" s="98"/>
      <c r="E6" s="95"/>
      <c r="F6" s="205"/>
      <c r="G6" s="98"/>
    </row>
    <row r="7" spans="1:20" ht="13.5" customHeight="1" x14ac:dyDescent="0.15">
      <c r="A7" s="268" t="s">
        <v>27</v>
      </c>
      <c r="B7" s="268" t="s">
        <v>29</v>
      </c>
      <c r="C7" s="268" t="s">
        <v>78</v>
      </c>
      <c r="D7" s="268" t="s">
        <v>95</v>
      </c>
      <c r="E7" s="260" t="s">
        <v>79</v>
      </c>
      <c r="F7" s="260" t="s">
        <v>80</v>
      </c>
      <c r="G7" s="273" t="s">
        <v>140</v>
      </c>
      <c r="H7" s="274"/>
      <c r="I7" s="274"/>
      <c r="J7" s="275"/>
      <c r="K7" s="273" t="s">
        <v>141</v>
      </c>
      <c r="L7" s="274"/>
      <c r="M7" s="274"/>
      <c r="N7" s="275"/>
      <c r="O7" s="273" t="s">
        <v>267</v>
      </c>
      <c r="P7" s="274"/>
      <c r="Q7" s="274"/>
      <c r="R7" s="275"/>
      <c r="S7" s="260" t="s">
        <v>269</v>
      </c>
      <c r="T7" s="260" t="s">
        <v>32</v>
      </c>
    </row>
    <row r="8" spans="1:20" ht="15" customHeight="1" x14ac:dyDescent="0.15">
      <c r="A8" s="268"/>
      <c r="B8" s="268"/>
      <c r="C8" s="268"/>
      <c r="D8" s="268"/>
      <c r="E8" s="276"/>
      <c r="F8" s="276"/>
      <c r="G8" s="154" t="s">
        <v>96</v>
      </c>
      <c r="H8" s="154" t="s">
        <v>76</v>
      </c>
      <c r="I8" s="154" t="s">
        <v>103</v>
      </c>
      <c r="J8" s="154" t="s">
        <v>31</v>
      </c>
      <c r="K8" s="154" t="s">
        <v>96</v>
      </c>
      <c r="L8" s="154" t="s">
        <v>76</v>
      </c>
      <c r="M8" s="154" t="s">
        <v>103</v>
      </c>
      <c r="N8" s="154" t="s">
        <v>31</v>
      </c>
      <c r="O8" s="154" t="s">
        <v>96</v>
      </c>
      <c r="P8" s="154" t="s">
        <v>76</v>
      </c>
      <c r="Q8" s="154" t="s">
        <v>103</v>
      </c>
      <c r="R8" s="154" t="s">
        <v>31</v>
      </c>
      <c r="S8" s="276"/>
      <c r="T8" s="276"/>
    </row>
    <row r="9" spans="1:20" x14ac:dyDescent="0.15">
      <c r="A9" s="180" t="s">
        <v>81</v>
      </c>
      <c r="B9" s="180" t="s">
        <v>82</v>
      </c>
      <c r="C9" s="180" t="s">
        <v>83</v>
      </c>
      <c r="D9" s="180" t="s">
        <v>84</v>
      </c>
      <c r="E9" s="180" t="s">
        <v>85</v>
      </c>
      <c r="F9" s="180" t="s">
        <v>86</v>
      </c>
      <c r="G9" s="181" t="s">
        <v>87</v>
      </c>
      <c r="H9" s="181" t="s">
        <v>88</v>
      </c>
      <c r="I9" s="181" t="s">
        <v>89</v>
      </c>
      <c r="J9" s="181" t="s">
        <v>90</v>
      </c>
      <c r="K9" s="181" t="s">
        <v>91</v>
      </c>
      <c r="L9" s="181" t="s">
        <v>92</v>
      </c>
      <c r="M9" s="181" t="s">
        <v>102</v>
      </c>
      <c r="N9" s="181" t="s">
        <v>142</v>
      </c>
      <c r="O9" s="181" t="s">
        <v>143</v>
      </c>
      <c r="P9" s="181" t="s">
        <v>144</v>
      </c>
      <c r="Q9" s="181" t="s">
        <v>145</v>
      </c>
      <c r="R9" s="181" t="s">
        <v>148</v>
      </c>
      <c r="S9" s="181" t="s">
        <v>149</v>
      </c>
      <c r="T9" s="181"/>
    </row>
    <row r="10" spans="1:20" ht="117" x14ac:dyDescent="0.15">
      <c r="A10" s="184"/>
      <c r="B10" s="187"/>
      <c r="C10" s="209"/>
      <c r="D10" s="209"/>
      <c r="E10" s="196"/>
      <c r="F10" s="65"/>
      <c r="G10" s="193"/>
      <c r="H10" s="190"/>
      <c r="I10" s="190">
        <f>G10*H10</f>
      </c>
      <c r="J10" s="191"/>
      <c r="K10" s="190"/>
      <c r="L10" s="190"/>
      <c r="M10" s="190">
        <f>K10*L10</f>
      </c>
      <c r="N10" s="191"/>
      <c r="O10" s="190"/>
      <c r="P10" s="190"/>
      <c r="Q10" s="190">
        <f>O10*P10</f>
      </c>
      <c r="R10" s="191"/>
      <c r="S10" s="184">
        <f>Q10-M10</f>
      </c>
      <c r="T10" s="90"/>
    </row>
    <row r="11" spans="1:20" ht="108" x14ac:dyDescent="0.15">
      <c r="A11" s="185"/>
      <c r="B11" s="188"/>
      <c r="C11" s="209"/>
      <c r="D11" s="209"/>
      <c r="E11" s="196"/>
      <c r="F11" s="65"/>
      <c r="G11" s="194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65"/>
    </row>
    <row r="12" spans="1:20" ht="36" x14ac:dyDescent="0.15">
      <c r="A12" s="185"/>
      <c r="B12" s="188"/>
      <c r="C12" s="210"/>
      <c r="D12" s="65"/>
      <c r="E12" s="92"/>
      <c r="F12" s="65"/>
      <c r="G12" s="194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90"/>
    </row>
    <row r="13" spans="1:20" ht="45" x14ac:dyDescent="0.15">
      <c r="A13" s="185"/>
      <c r="B13" s="188"/>
      <c r="C13" s="210"/>
      <c r="D13" s="65"/>
      <c r="E13" s="92"/>
      <c r="F13" s="65"/>
      <c r="G13" s="194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90"/>
    </row>
    <row r="14" spans="1:20" ht="90" x14ac:dyDescent="0.15">
      <c r="A14" s="186"/>
      <c r="B14" s="189"/>
      <c r="C14" s="65"/>
      <c r="D14" s="65"/>
      <c r="E14" s="92"/>
      <c r="F14" s="65"/>
      <c r="G14" s="195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90"/>
    </row>
    <row r="15" spans="1:20" ht="81" x14ac:dyDescent="0.15">
      <c r="A15" s="221"/>
      <c r="B15" s="222"/>
      <c r="C15" s="223"/>
      <c r="D15" s="223"/>
      <c r="E15" s="224"/>
      <c r="F15" s="223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5"/>
    </row>
    <row r="16" spans="1:20" x14ac:dyDescent="0.15">
      <c r="A16" s="197"/>
      <c r="B16" s="198"/>
      <c r="C16" s="198"/>
      <c r="D16" s="198"/>
      <c r="E16" s="198"/>
      <c r="F16" s="206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9"/>
    </row>
    <row r="17" spans="1:20" ht="137.25" customHeight="1" x14ac:dyDescent="0.15">
      <c r="A17" s="184"/>
      <c r="B17" s="187"/>
      <c r="C17" s="210"/>
      <c r="D17" s="210"/>
      <c r="E17" s="196"/>
      <c r="F17" s="65"/>
      <c r="G17" s="193"/>
      <c r="H17" s="190"/>
      <c r="I17" s="190">
        <f>G17*H17</f>
      </c>
      <c r="J17" s="191"/>
      <c r="K17" s="190"/>
      <c r="L17" s="190"/>
      <c r="M17" s="190">
        <f>K17*L17</f>
      </c>
      <c r="N17" s="191"/>
      <c r="O17" s="190"/>
      <c r="P17" s="190"/>
      <c r="Q17" s="190">
        <f>O17*P17</f>
      </c>
      <c r="R17" s="191"/>
      <c r="S17" s="184">
        <f>Q17-M17</f>
      </c>
      <c r="T17" s="90"/>
    </row>
    <row r="18" spans="1:20" ht="135" x14ac:dyDescent="0.15">
      <c r="A18" s="186"/>
      <c r="B18" s="189"/>
      <c r="C18" s="209"/>
      <c r="D18" s="210"/>
      <c r="E18" s="196"/>
      <c r="F18" s="65"/>
      <c r="G18" s="195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90"/>
    </row>
    <row r="19" spans="1:20" x14ac:dyDescent="0.15">
      <c r="A19" s="197"/>
      <c r="B19" s="198"/>
      <c r="C19" s="198"/>
      <c r="D19" s="198"/>
      <c r="E19" s="198"/>
      <c r="F19" s="206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9"/>
    </row>
    <row r="20" spans="1:20" ht="45" x14ac:dyDescent="0.15">
      <c r="A20" s="184"/>
      <c r="B20" s="187"/>
      <c r="C20" s="209"/>
      <c r="D20" s="92"/>
      <c r="E20" s="90"/>
      <c r="F20" s="65"/>
      <c r="G20" s="193"/>
      <c r="H20" s="190"/>
      <c r="I20" s="190">
        <f t="shared" ref="I20" si="0">G20*H20</f>
      </c>
      <c r="J20" s="190"/>
      <c r="K20" s="184"/>
      <c r="L20" s="184"/>
      <c r="M20" s="184">
        <f t="shared" ref="M20" si="1">K20*L20</f>
      </c>
      <c r="N20" s="191"/>
      <c r="O20" s="184"/>
      <c r="P20" s="184"/>
      <c r="Q20" s="184">
        <f t="shared" ref="Q20" si="2">O20*P20</f>
      </c>
      <c r="R20" s="191"/>
      <c r="S20" s="184">
        <f>Q20-M20</f>
      </c>
      <c r="T20" s="90"/>
    </row>
    <row r="21" spans="1:20" ht="63" x14ac:dyDescent="0.15">
      <c r="A21" s="185"/>
      <c r="B21" s="188"/>
      <c r="C21" s="209"/>
      <c r="D21" s="209"/>
      <c r="E21" s="196"/>
      <c r="F21" s="65"/>
      <c r="G21" s="194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90"/>
    </row>
    <row r="22" spans="1:20" ht="63" x14ac:dyDescent="0.15">
      <c r="A22" s="186"/>
      <c r="B22" s="189"/>
      <c r="C22" s="210"/>
      <c r="D22" s="210"/>
      <c r="E22" s="196"/>
      <c r="F22" s="65"/>
      <c r="G22" s="195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90"/>
    </row>
    <row r="23" spans="1:20" x14ac:dyDescent="0.15">
      <c r="A23" s="197"/>
      <c r="B23" s="198"/>
      <c r="C23" s="198"/>
      <c r="D23" s="198"/>
      <c r="E23" s="198"/>
      <c r="F23" s="206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9"/>
    </row>
    <row r="24" spans="1:20" ht="54" x14ac:dyDescent="0.15">
      <c r="A24" s="91"/>
      <c r="B24" s="88"/>
      <c r="C24" s="211"/>
      <c r="D24" s="211"/>
      <c r="E24" s="196"/>
      <c r="F24" s="65"/>
      <c r="G24" s="87"/>
      <c r="H24" s="87"/>
      <c r="I24" s="87">
        <f t="shared" ref="I24" si="3">G24*H24</f>
      </c>
      <c r="J24" s="87"/>
      <c r="K24" s="87"/>
      <c r="L24" s="87"/>
      <c r="M24" s="87">
        <f t="shared" ref="M24" si="4">K24*L24</f>
      </c>
      <c r="N24" s="87"/>
      <c r="O24" s="87"/>
      <c r="P24" s="87"/>
      <c r="Q24" s="87">
        <f t="shared" ref="Q24" si="5">O24*P24</f>
      </c>
      <c r="R24" s="87"/>
      <c r="S24" s="184">
        <f>Q24-M24</f>
      </c>
      <c r="T24" s="65"/>
    </row>
    <row r="25" spans="1:20" x14ac:dyDescent="0.15">
      <c r="A25" s="182"/>
      <c r="B25" s="183"/>
      <c r="C25" s="183"/>
      <c r="D25" s="183"/>
      <c r="E25" s="183"/>
      <c r="F25" s="207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</row>
    <row r="26" spans="1:20" ht="45" x14ac:dyDescent="0.15">
      <c r="A26" s="184"/>
      <c r="B26" s="187"/>
      <c r="C26" s="209"/>
      <c r="D26" s="65"/>
      <c r="E26" s="90"/>
      <c r="F26" s="65"/>
      <c r="G26" s="202"/>
      <c r="H26" s="184"/>
      <c r="I26" s="184">
        <f>G26*H26</f>
      </c>
      <c r="J26" s="190"/>
      <c r="K26" s="184"/>
      <c r="L26" s="184"/>
      <c r="M26" s="184">
        <f>K26*L26</f>
      </c>
      <c r="N26" s="190"/>
      <c r="O26" s="184"/>
      <c r="P26" s="184"/>
      <c r="Q26" s="184">
        <f>O26*P26</f>
      </c>
      <c r="R26" s="190"/>
      <c r="S26" s="184">
        <f>Q26-M26</f>
      </c>
      <c r="T26" s="90"/>
    </row>
    <row r="27" spans="1:20" ht="63" x14ac:dyDescent="0.15">
      <c r="A27" s="186"/>
      <c r="B27" s="200"/>
      <c r="C27" s="209"/>
      <c r="D27" s="65"/>
      <c r="E27" s="90"/>
      <c r="F27" s="65"/>
      <c r="G27" s="203"/>
      <c r="H27" s="186"/>
      <c r="I27" s="186"/>
      <c r="J27" s="201"/>
      <c r="K27" s="189"/>
      <c r="L27" s="189"/>
      <c r="M27" s="189"/>
      <c r="N27" s="189"/>
      <c r="O27" s="186"/>
      <c r="P27" s="186"/>
      <c r="Q27" s="186"/>
      <c r="R27" s="201"/>
      <c r="S27" s="189"/>
      <c r="T27" s="90"/>
    </row>
    <row r="28" spans="1:20" x14ac:dyDescent="0.15">
      <c r="A28" s="197"/>
      <c r="B28" s="198"/>
      <c r="C28" s="198"/>
      <c r="D28" s="198"/>
      <c r="E28" s="198"/>
      <c r="F28" s="206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9"/>
    </row>
    <row r="29" spans="1:20" ht="108" x14ac:dyDescent="0.15">
      <c r="A29" s="184"/>
      <c r="B29" s="187"/>
      <c r="C29" s="88"/>
      <c r="D29" s="88"/>
      <c r="E29" s="208"/>
      <c r="F29" s="65"/>
      <c r="G29" s="193"/>
      <c r="H29" s="190"/>
      <c r="I29" s="190">
        <f t="shared" ref="I29" si="6">G29*H29</f>
      </c>
      <c r="J29" s="190"/>
      <c r="K29" s="190"/>
      <c r="L29" s="190"/>
      <c r="M29" s="190">
        <f t="shared" ref="M29" si="7">K29*L29</f>
      </c>
      <c r="N29" s="190"/>
      <c r="O29" s="190"/>
      <c r="P29" s="190"/>
      <c r="Q29" s="190">
        <f t="shared" ref="Q29" si="8">O29*P29</f>
      </c>
      <c r="R29" s="190"/>
      <c r="S29" s="184">
        <f>Q29-M29</f>
      </c>
      <c r="T29" s="65"/>
    </row>
    <row r="30" spans="1:20" ht="135" x14ac:dyDescent="0.15">
      <c r="A30" s="186"/>
      <c r="B30" s="189"/>
      <c r="C30" s="88"/>
      <c r="D30" s="65"/>
      <c r="E30" s="208"/>
      <c r="F30" s="65"/>
      <c r="G30" s="195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90"/>
    </row>
    <row r="31" spans="1:20" x14ac:dyDescent="0.15">
      <c r="A31" s="217"/>
      <c r="B31" s="218"/>
      <c r="C31" s="218"/>
      <c r="D31" s="218"/>
      <c r="E31" s="218"/>
      <c r="F31" s="219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20"/>
    </row>
    <row r="32" spans="1:20" ht="63" x14ac:dyDescent="0.15">
      <c r="A32" s="184"/>
      <c r="B32" s="187"/>
      <c r="C32" s="210"/>
      <c r="D32" s="92"/>
      <c r="E32" s="90"/>
      <c r="F32" s="65"/>
      <c r="G32" s="190"/>
      <c r="H32" s="190"/>
      <c r="I32" s="190">
        <f>G32*H32</f>
      </c>
      <c r="J32" s="190"/>
      <c r="K32" s="190"/>
      <c r="L32" s="190"/>
      <c r="M32" s="190">
        <f>K32*L32</f>
      </c>
      <c r="N32" s="190"/>
      <c r="O32" s="190"/>
      <c r="P32" s="190"/>
      <c r="Q32" s="190">
        <f>O32*P32</f>
      </c>
      <c r="R32" s="190"/>
      <c r="S32" s="184">
        <f>Q32-M32</f>
      </c>
      <c r="T32" s="192"/>
    </row>
    <row r="33" spans="1:20" ht="18" x14ac:dyDescent="0.15">
      <c r="A33" s="185"/>
      <c r="B33" s="188"/>
      <c r="C33" s="209"/>
      <c r="D33" s="92"/>
      <c r="E33" s="90"/>
      <c r="F33" s="65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</row>
    <row r="34" spans="1:20" ht="63" x14ac:dyDescent="0.15">
      <c r="A34" s="186"/>
      <c r="B34" s="189"/>
      <c r="C34" s="209"/>
      <c r="D34" s="209"/>
      <c r="E34" s="90"/>
      <c r="F34" s="65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</row>
    <row r="35" spans="1:20" x14ac:dyDescent="0.15">
      <c r="A35" s="213"/>
      <c r="B35" s="214"/>
      <c r="C35" s="214"/>
      <c r="D35" s="214"/>
      <c r="E35" s="214"/>
      <c r="F35" s="215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6"/>
    </row>
    <row r="36" spans="1:20" ht="45" x14ac:dyDescent="0.15">
      <c r="A36" s="91"/>
      <c r="B36" s="88"/>
      <c r="C36" s="209"/>
      <c r="D36" s="65"/>
      <c r="E36" s="196"/>
      <c r="F36" s="65"/>
      <c r="G36" s="87"/>
      <c r="H36" s="87"/>
      <c r="I36" s="87">
        <f>G36*H36</f>
      </c>
      <c r="J36" s="87"/>
      <c r="K36" s="87"/>
      <c r="L36" s="87"/>
      <c r="M36" s="87">
        <f>K36*L36</f>
      </c>
      <c r="N36" s="87"/>
      <c r="O36" s="87"/>
      <c r="P36" s="87"/>
      <c r="Q36" s="87">
        <f>O36*P36</f>
      </c>
      <c r="R36" s="87"/>
      <c r="S36" s="184">
        <f>Q36-M36</f>
      </c>
      <c r="T36" s="90"/>
    </row>
    <row r="37" spans="1:20" x14ac:dyDescent="0.15">
      <c r="A37" s="197"/>
      <c r="B37" s="198"/>
      <c r="C37" s="198"/>
      <c r="D37" s="198"/>
      <c r="E37" s="198"/>
      <c r="F37" s="206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9"/>
    </row>
    <row r="38" spans="1:20" ht="54" x14ac:dyDescent="0.15">
      <c r="A38" s="184"/>
      <c r="B38" s="187"/>
      <c r="C38" s="210"/>
      <c r="D38" s="92"/>
      <c r="E38" s="90"/>
      <c r="F38" s="65"/>
      <c r="G38" s="202"/>
      <c r="H38" s="184"/>
      <c r="I38" s="184">
        <f>G38*H38</f>
      </c>
      <c r="J38" s="190"/>
      <c r="K38" s="184"/>
      <c r="L38" s="184"/>
      <c r="M38" s="184">
        <f>K38*L38</f>
      </c>
      <c r="N38" s="190"/>
      <c r="O38" s="184"/>
      <c r="P38" s="184"/>
      <c r="Q38" s="184">
        <f>O38*P38</f>
      </c>
      <c r="R38" s="190"/>
      <c r="S38" s="184">
        <f>Q38-M38</f>
      </c>
      <c r="T38" s="90"/>
    </row>
    <row r="39" spans="1:20" ht="45" x14ac:dyDescent="0.15">
      <c r="A39" s="185"/>
      <c r="B39" s="188"/>
      <c r="C39" s="209"/>
      <c r="D39" s="65"/>
      <c r="E39" s="90"/>
      <c r="F39" s="65"/>
      <c r="G39" s="194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90"/>
    </row>
    <row r="40" spans="1:20" ht="279" x14ac:dyDescent="0.15">
      <c r="A40" s="186"/>
      <c r="B40" s="189"/>
      <c r="C40" s="65"/>
      <c r="D40" s="65"/>
      <c r="E40" s="204"/>
      <c r="F40" s="65"/>
      <c r="G40" s="195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65"/>
    </row>
    <row r="41" spans="1:20" x14ac:dyDescent="0.15">
      <c r="A41" s="197"/>
      <c r="B41" s="198"/>
      <c r="C41" s="198"/>
      <c r="D41" s="198"/>
      <c r="E41" s="198"/>
      <c r="F41" s="206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9"/>
    </row>
    <row r="42" spans="1:20" ht="81" x14ac:dyDescent="0.15">
      <c r="A42" s="91"/>
      <c r="B42" s="88"/>
      <c r="C42" s="210"/>
      <c r="D42" s="210"/>
      <c r="E42" s="196"/>
      <c r="F42" s="65"/>
      <c r="G42" s="91"/>
      <c r="H42" s="91"/>
      <c r="I42" s="91">
        <f>G42*H42</f>
      </c>
      <c r="J42" s="87"/>
      <c r="K42" s="91"/>
      <c r="L42" s="91"/>
      <c r="M42" s="91">
        <f>K42*L42</f>
      </c>
      <c r="N42" s="87"/>
      <c r="O42" s="91"/>
      <c r="P42" s="91"/>
      <c r="Q42" s="91">
        <f>O42*P42</f>
      </c>
      <c r="R42" s="87"/>
      <c r="S42" s="184">
        <f>Q42-M42</f>
      </c>
      <c r="T42" s="90"/>
    </row>
    <row r="43" spans="1:20" x14ac:dyDescent="0.15">
      <c r="A43" s="197"/>
      <c r="B43" s="198"/>
      <c r="C43" s="198"/>
      <c r="D43" s="198"/>
      <c r="E43" s="198"/>
      <c r="F43" s="206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9"/>
    </row>
    <row r="44" spans="1:20" ht="63" x14ac:dyDescent="0.15">
      <c r="A44" s="184"/>
      <c r="B44" s="187"/>
      <c r="C44" s="209"/>
      <c r="D44" s="209"/>
      <c r="E44" s="212"/>
      <c r="F44" s="65"/>
      <c r="G44" s="193"/>
      <c r="H44" s="190"/>
      <c r="I44" s="190">
        <f t="shared" ref="I44" si="9">G44*H44</f>
      </c>
      <c r="J44" s="190"/>
      <c r="K44" s="190"/>
      <c r="L44" s="190"/>
      <c r="M44" s="190">
        <f t="shared" ref="M44" si="10">K44*L44</f>
      </c>
      <c r="N44" s="190"/>
      <c r="O44" s="190"/>
      <c r="P44" s="190"/>
      <c r="Q44" s="190">
        <f t="shared" ref="Q44" si="11">O44*P44</f>
      </c>
      <c r="R44" s="190"/>
      <c r="S44" s="184">
        <f>Q44-M44</f>
      </c>
      <c r="T44" s="90"/>
    </row>
    <row r="45" spans="1:20" ht="279" x14ac:dyDescent="0.15">
      <c r="A45" s="186"/>
      <c r="B45" s="189"/>
      <c r="C45" s="65"/>
      <c r="D45" s="65"/>
      <c r="E45" s="204"/>
      <c r="F45" s="65"/>
      <c r="G45" s="195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90"/>
    </row>
    <row r="46" spans="1:20" x14ac:dyDescent="0.15">
      <c r="A46" s="197"/>
      <c r="B46" s="198"/>
      <c r="C46" s="198"/>
      <c r="D46" s="198"/>
      <c r="E46" s="198"/>
      <c r="F46" s="206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9"/>
    </row>
    <row r="47" spans="1:20" ht="99" x14ac:dyDescent="0.15">
      <c r="A47" s="91"/>
      <c r="B47" s="88"/>
      <c r="C47" s="210"/>
      <c r="D47" s="210"/>
      <c r="E47" s="196"/>
      <c r="F47" s="65"/>
      <c r="G47" s="87"/>
      <c r="H47" s="87"/>
      <c r="I47" s="87">
        <f>G47*H47</f>
      </c>
      <c r="J47" s="87"/>
      <c r="K47" s="91"/>
      <c r="L47" s="91"/>
      <c r="M47" s="87">
        <f>K47*L47</f>
      </c>
      <c r="N47" s="87"/>
      <c r="O47" s="91"/>
      <c r="P47" s="91"/>
      <c r="Q47" s="87">
        <f>O47*P47</f>
      </c>
      <c r="R47" s="87"/>
      <c r="S47" s="184">
        <f>Q47-M47</f>
      </c>
      <c r="T47" s="90"/>
    </row>
    <row r="48" spans="1:20" x14ac:dyDescent="0.15">
      <c r="A48" s="197"/>
      <c r="B48" s="198"/>
      <c r="C48" s="198"/>
      <c r="D48" s="198"/>
      <c r="E48" s="198"/>
      <c r="F48" s="206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9"/>
    </row>
    <row r="49" spans="1:20" ht="72" x14ac:dyDescent="0.15">
      <c r="A49" s="91"/>
      <c r="B49" s="88"/>
      <c r="C49" s="91"/>
      <c r="D49" s="90"/>
      <c r="E49" s="90"/>
      <c r="F49" s="65"/>
      <c r="G49" s="87"/>
      <c r="H49" s="87"/>
      <c r="I49" s="87">
        <f>G49*H49</f>
      </c>
      <c r="J49" s="87"/>
      <c r="K49" s="87"/>
      <c r="L49" s="87"/>
      <c r="M49" s="87">
        <f>K49*L49</f>
      </c>
      <c r="N49" s="87"/>
      <c r="O49" s="91"/>
      <c r="P49" s="91"/>
      <c r="Q49" s="87">
        <f>O49*P49</f>
      </c>
      <c r="R49" s="87"/>
      <c r="S49" s="184">
        <f>Q49-M49</f>
      </c>
      <c r="T49" s="90"/>
    </row>
    <row r="50" spans="1:20" x14ac:dyDescent="0.15">
      <c r="A50" s="197"/>
      <c r="B50" s="198"/>
      <c r="C50" s="198"/>
      <c r="D50" s="198"/>
      <c r="E50" s="198"/>
      <c r="F50" s="206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9"/>
    </row>
  </sheetData>
  <mergeCells count="15">
    <mergeCell ref="K7:N7"/>
    <mergeCell ref="O7:R7"/>
    <mergeCell ref="S7:S8"/>
    <mergeCell ref="T7:T8"/>
    <mergeCell ref="C2:G2"/>
    <mergeCell ref="C7:C8"/>
    <mergeCell ref="D7:D8"/>
    <mergeCell ref="E7:E8"/>
    <mergeCell ref="F7:F8"/>
    <mergeCell ref="G7:J7"/>
    <mergeCell ref="A4:B4"/>
    <mergeCell ref="A5:B5"/>
    <mergeCell ref="A6:B6"/>
    <mergeCell ref="A7:A8"/>
    <mergeCell ref="B7:B8"/>
  </mergeCells>
  <pageMargins left="0.39370078740157483" right="0.39370078740157483" top="1.1811023622047245" bottom="0.39370078740157483" header="0.31496062992125984" footer="0.31496062992125984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61B5-939F-45D6-94FC-F6DEAF0E1575}">
  <dimension ref="A2:T50"/>
  <sheetViews>
    <sheetView tabSelected="1" topLeftCell="A7" zoomScale="130" zoomScaleNormal="130" workbookViewId="0">
      <pane ySplit="2" topLeftCell="A23" activePane="bottomLeft" state="frozen"/>
      <selection activeCell="D30" sqref="D30:D31"/>
      <selection pane="bottomLeft" activeCell="C24" sqref="C24"/>
    </sheetView>
  </sheetViews>
  <sheetFormatPr defaultColWidth="9.140625" defaultRowHeight="9" x14ac:dyDescent="0.15"/>
  <cols>
    <col min="1" max="1" width="2.5703125" style="93" customWidth="1"/>
    <col min="2" max="2" width="8.140625" style="94" customWidth="1"/>
    <col min="3" max="3" width="9" style="94" customWidth="1"/>
    <col min="4" max="4" width="7.42578125" style="94" customWidth="1"/>
    <col min="5" max="5" width="8.42578125" style="94" customWidth="1"/>
    <col min="6" max="6" width="7.140625" style="116" customWidth="1"/>
    <col min="7" max="7" width="8.140625" style="94" customWidth="1"/>
    <col min="8" max="8" width="5.42578125" style="94" customWidth="1"/>
    <col min="9" max="9" width="4.7109375" style="94" customWidth="1"/>
    <col min="10" max="10" width="6" style="94" customWidth="1"/>
    <col min="11" max="11" width="8.28515625" style="94" customWidth="1"/>
    <col min="12" max="12" width="6.5703125" style="94" customWidth="1"/>
    <col min="13" max="13" width="6.28515625" style="94" customWidth="1"/>
    <col min="14" max="14" width="6.5703125" style="94" customWidth="1"/>
    <col min="15" max="15" width="8" style="94" customWidth="1"/>
    <col min="16" max="16" width="6.140625" style="94" customWidth="1"/>
    <col min="17" max="17" width="5.42578125" style="94" customWidth="1"/>
    <col min="18" max="18" width="5.7109375" style="94" customWidth="1"/>
    <col min="19" max="19" width="4.42578125" style="94" customWidth="1"/>
    <col min="20" max="20" width="11" style="94" customWidth="1"/>
    <col min="21" max="16384" width="9.140625" style="94"/>
  </cols>
  <sheetData>
    <row r="2" spans="1:20" x14ac:dyDescent="0.15">
      <c r="C2" s="269" t="s">
        <v>114</v>
      </c>
      <c r="D2" s="269"/>
      <c r="E2" s="269"/>
      <c r="F2" s="269"/>
      <c r="G2" s="269"/>
    </row>
    <row r="3" spans="1:20" x14ac:dyDescent="0.15">
      <c r="C3" s="95"/>
      <c r="D3" s="95"/>
      <c r="E3" s="95"/>
      <c r="F3" s="205"/>
      <c r="G3" s="95"/>
    </row>
    <row r="4" spans="1:20" x14ac:dyDescent="0.15">
      <c r="A4" s="264" t="s">
        <v>110</v>
      </c>
      <c r="B4" s="264"/>
      <c r="C4" s="96"/>
      <c r="D4" s="95"/>
      <c r="E4" s="95"/>
      <c r="F4" s="205"/>
      <c r="G4" s="95"/>
    </row>
    <row r="5" spans="1:20" x14ac:dyDescent="0.15">
      <c r="A5" s="264" t="s">
        <v>111</v>
      </c>
      <c r="B5" s="264"/>
      <c r="C5" s="96"/>
      <c r="D5" s="95"/>
      <c r="E5" s="95"/>
      <c r="F5" s="205"/>
      <c r="G5" s="95"/>
    </row>
    <row r="6" spans="1:20" x14ac:dyDescent="0.15">
      <c r="A6" s="265" t="s">
        <v>112</v>
      </c>
      <c r="B6" s="265"/>
      <c r="C6" s="97"/>
      <c r="D6" s="98"/>
      <c r="E6" s="95"/>
      <c r="F6" s="205"/>
      <c r="G6" s="98"/>
    </row>
    <row r="7" spans="1:20" ht="13.5" customHeight="1" x14ac:dyDescent="0.15">
      <c r="A7" s="268" t="s">
        <v>27</v>
      </c>
      <c r="B7" s="268" t="s">
        <v>29</v>
      </c>
      <c r="C7" s="268" t="s">
        <v>78</v>
      </c>
      <c r="D7" s="268" t="s">
        <v>95</v>
      </c>
      <c r="E7" s="260" t="s">
        <v>79</v>
      </c>
      <c r="F7" s="260" t="s">
        <v>80</v>
      </c>
      <c r="G7" s="273" t="s">
        <v>140</v>
      </c>
      <c r="H7" s="274"/>
      <c r="I7" s="274"/>
      <c r="J7" s="275"/>
      <c r="K7" s="273" t="s">
        <v>141</v>
      </c>
      <c r="L7" s="274"/>
      <c r="M7" s="274"/>
      <c r="N7" s="275"/>
      <c r="O7" s="273" t="s">
        <v>267</v>
      </c>
      <c r="P7" s="274"/>
      <c r="Q7" s="274"/>
      <c r="R7" s="275"/>
      <c r="S7" s="260" t="s">
        <v>269</v>
      </c>
      <c r="T7" s="260" t="s">
        <v>32</v>
      </c>
    </row>
    <row r="8" spans="1:20" ht="15" customHeight="1" x14ac:dyDescent="0.15">
      <c r="A8" s="268"/>
      <c r="B8" s="268"/>
      <c r="C8" s="268"/>
      <c r="D8" s="268"/>
      <c r="E8" s="276"/>
      <c r="F8" s="276"/>
      <c r="G8" s="154" t="s">
        <v>96</v>
      </c>
      <c r="H8" s="154" t="s">
        <v>76</v>
      </c>
      <c r="I8" s="154" t="s">
        <v>103</v>
      </c>
      <c r="J8" s="154" t="s">
        <v>31</v>
      </c>
      <c r="K8" s="154" t="s">
        <v>96</v>
      </c>
      <c r="L8" s="154" t="s">
        <v>76</v>
      </c>
      <c r="M8" s="154" t="s">
        <v>103</v>
      </c>
      <c r="N8" s="154" t="s">
        <v>31</v>
      </c>
      <c r="O8" s="154" t="s">
        <v>96</v>
      </c>
      <c r="P8" s="154" t="s">
        <v>76</v>
      </c>
      <c r="Q8" s="154" t="s">
        <v>103</v>
      </c>
      <c r="R8" s="154" t="s">
        <v>31</v>
      </c>
      <c r="S8" s="276"/>
      <c r="T8" s="276"/>
    </row>
    <row r="9" spans="1:20" x14ac:dyDescent="0.15">
      <c r="A9" s="180" t="s">
        <v>81</v>
      </c>
      <c r="B9" s="180" t="s">
        <v>82</v>
      </c>
      <c r="C9" s="180" t="s">
        <v>83</v>
      </c>
      <c r="D9" s="180" t="s">
        <v>84</v>
      </c>
      <c r="E9" s="180" t="s">
        <v>85</v>
      </c>
      <c r="F9" s="180" t="s">
        <v>86</v>
      </c>
      <c r="G9" s="181" t="s">
        <v>87</v>
      </c>
      <c r="H9" s="181" t="s">
        <v>88</v>
      </c>
      <c r="I9" s="181" t="s">
        <v>89</v>
      </c>
      <c r="J9" s="181" t="s">
        <v>90</v>
      </c>
      <c r="K9" s="181" t="s">
        <v>91</v>
      </c>
      <c r="L9" s="181" t="s">
        <v>92</v>
      </c>
      <c r="M9" s="181" t="s">
        <v>102</v>
      </c>
      <c r="N9" s="181" t="s">
        <v>142</v>
      </c>
      <c r="O9" s="181" t="s">
        <v>143</v>
      </c>
      <c r="P9" s="181" t="s">
        <v>144</v>
      </c>
      <c r="Q9" s="181" t="s">
        <v>145</v>
      </c>
      <c r="R9" s="181" t="s">
        <v>148</v>
      </c>
      <c r="S9" s="181" t="s">
        <v>149</v>
      </c>
      <c r="T9" s="181"/>
    </row>
    <row r="10" spans="1:20" ht="117" x14ac:dyDescent="0.15">
      <c r="A10" s="184"/>
      <c r="B10" s="187"/>
      <c r="C10" s="209"/>
      <c r="D10" s="209"/>
      <c r="E10" s="196"/>
      <c r="F10" s="65"/>
      <c r="G10" s="193"/>
      <c r="H10" s="190"/>
      <c r="I10" s="190">
        <f>G10*H10</f>
      </c>
      <c r="J10" s="191"/>
      <c r="K10" s="190"/>
      <c r="L10" s="190"/>
      <c r="M10" s="190">
        <f>K10*L10</f>
      </c>
      <c r="N10" s="191"/>
      <c r="O10" s="190"/>
      <c r="P10" s="190"/>
      <c r="Q10" s="190">
        <f>O10*P10</f>
      </c>
      <c r="R10" s="191"/>
      <c r="S10" s="184">
        <f>Q10-M10</f>
      </c>
      <c r="T10" s="90"/>
    </row>
    <row r="11" spans="1:20" ht="108" x14ac:dyDescent="0.15">
      <c r="A11" s="185"/>
      <c r="B11" s="188"/>
      <c r="C11" s="209"/>
      <c r="D11" s="209"/>
      <c r="E11" s="196"/>
      <c r="F11" s="65"/>
      <c r="G11" s="194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65"/>
    </row>
    <row r="12" spans="1:20" ht="63" x14ac:dyDescent="0.15">
      <c r="A12" s="185"/>
      <c r="B12" s="188"/>
      <c r="C12" s="210"/>
      <c r="D12" s="210"/>
      <c r="E12" s="196"/>
      <c r="F12" s="65"/>
      <c r="G12" s="194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90"/>
    </row>
    <row r="13" spans="1:20" ht="45" x14ac:dyDescent="0.15">
      <c r="A13" s="185"/>
      <c r="B13" s="188"/>
      <c r="C13" s="210"/>
      <c r="D13" s="65"/>
      <c r="E13" s="92"/>
      <c r="F13" s="65"/>
      <c r="G13" s="194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90"/>
    </row>
    <row r="14" spans="1:20" ht="90" x14ac:dyDescent="0.15">
      <c r="A14" s="186"/>
      <c r="B14" s="189"/>
      <c r="C14" s="65"/>
      <c r="D14" s="65"/>
      <c r="E14" s="92"/>
      <c r="F14" s="65"/>
      <c r="G14" s="195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90"/>
    </row>
    <row r="15" spans="1:20" ht="81" x14ac:dyDescent="0.15">
      <c r="A15" s="221"/>
      <c r="B15" s="222"/>
      <c r="C15" s="223"/>
      <c r="D15" s="223"/>
      <c r="E15" s="224"/>
      <c r="F15" s="223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5"/>
    </row>
    <row r="16" spans="1:20" x14ac:dyDescent="0.15">
      <c r="A16" s="197"/>
      <c r="B16" s="198"/>
      <c r="C16" s="198"/>
      <c r="D16" s="198"/>
      <c r="E16" s="198"/>
      <c r="F16" s="206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9"/>
    </row>
    <row r="17" spans="1:20" ht="137.25" customHeight="1" x14ac:dyDescent="0.15">
      <c r="A17" s="184"/>
      <c r="B17" s="187"/>
      <c r="C17" s="210"/>
      <c r="D17" s="210"/>
      <c r="E17" s="196"/>
      <c r="F17" s="65"/>
      <c r="G17" s="193"/>
      <c r="H17" s="190"/>
      <c r="I17" s="190">
        <f>G17*H17</f>
      </c>
      <c r="J17" s="191"/>
      <c r="K17" s="190"/>
      <c r="L17" s="190"/>
      <c r="M17" s="190">
        <f>K17*L17</f>
      </c>
      <c r="N17" s="191"/>
      <c r="O17" s="190"/>
      <c r="P17" s="190"/>
      <c r="Q17" s="190">
        <f>O17*P17</f>
      </c>
      <c r="R17" s="191"/>
      <c r="S17" s="184">
        <f>Q17-M17</f>
      </c>
      <c r="T17" s="90"/>
    </row>
    <row r="18" spans="1:20" ht="135" x14ac:dyDescent="0.15">
      <c r="A18" s="186"/>
      <c r="B18" s="189"/>
      <c r="C18" s="209"/>
      <c r="D18" s="210"/>
      <c r="E18" s="196"/>
      <c r="F18" s="65"/>
      <c r="G18" s="195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90"/>
    </row>
    <row r="19" spans="1:20" x14ac:dyDescent="0.15">
      <c r="A19" s="197"/>
      <c r="B19" s="198"/>
      <c r="C19" s="198"/>
      <c r="D19" s="198"/>
      <c r="E19" s="198"/>
      <c r="F19" s="206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9"/>
    </row>
    <row r="20" spans="1:20" ht="45" x14ac:dyDescent="0.15">
      <c r="A20" s="184"/>
      <c r="B20" s="187"/>
      <c r="C20" s="209"/>
      <c r="D20" s="92"/>
      <c r="E20" s="90"/>
      <c r="F20" s="65"/>
      <c r="G20" s="193"/>
      <c r="H20" s="190"/>
      <c r="I20" s="190">
        <f t="shared" ref="I20" si="0">G20*H20</f>
      </c>
      <c r="J20" s="190"/>
      <c r="K20" s="184"/>
      <c r="L20" s="184"/>
      <c r="M20" s="184">
        <f t="shared" ref="M20" si="1">K20*L20</f>
      </c>
      <c r="N20" s="191"/>
      <c r="O20" s="184"/>
      <c r="P20" s="184"/>
      <c r="Q20" s="184">
        <f t="shared" ref="Q20" si="2">O20*P20</f>
      </c>
      <c r="R20" s="191"/>
      <c r="S20" s="184">
        <f>Q20-M20</f>
      </c>
      <c r="T20" s="90"/>
    </row>
    <row r="21" spans="1:20" ht="63" x14ac:dyDescent="0.15">
      <c r="A21" s="185"/>
      <c r="B21" s="188"/>
      <c r="C21" s="209"/>
      <c r="D21" s="209"/>
      <c r="E21" s="196"/>
      <c r="F21" s="65"/>
      <c r="G21" s="194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90"/>
    </row>
    <row r="22" spans="1:20" ht="63" x14ac:dyDescent="0.15">
      <c r="A22" s="186"/>
      <c r="B22" s="189"/>
      <c r="C22" s="210"/>
      <c r="D22" s="210"/>
      <c r="E22" s="196"/>
      <c r="F22" s="65"/>
      <c r="G22" s="195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90"/>
    </row>
    <row r="23" spans="1:20" x14ac:dyDescent="0.15">
      <c r="A23" s="197"/>
      <c r="B23" s="198"/>
      <c r="C23" s="198"/>
      <c r="D23" s="198"/>
      <c r="E23" s="198"/>
      <c r="F23" s="206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9"/>
    </row>
    <row r="24" spans="1:20" ht="54" x14ac:dyDescent="0.15">
      <c r="A24" s="91"/>
      <c r="B24" s="88"/>
      <c r="C24" s="211"/>
      <c r="D24" s="211"/>
      <c r="E24" s="196"/>
      <c r="F24" s="65"/>
      <c r="G24" s="87"/>
      <c r="H24" s="87"/>
      <c r="I24" s="87">
        <f t="shared" ref="I24" si="3">G24*H24</f>
      </c>
      <c r="J24" s="87"/>
      <c r="K24" s="280"/>
      <c r="L24" s="280"/>
      <c r="M24" s="280">
        <f t="shared" ref="M24" si="4">K24*L24</f>
      </c>
      <c r="N24" s="280"/>
      <c r="O24" s="87"/>
      <c r="P24" s="87"/>
      <c r="Q24" s="87">
        <f t="shared" ref="Q24" si="5">O24*P24</f>
      </c>
      <c r="R24" s="87"/>
      <c r="S24" s="184">
        <f>Q24-M24</f>
      </c>
      <c r="T24" s="65"/>
    </row>
    <row r="25" spans="1:20" x14ac:dyDescent="0.15">
      <c r="A25" s="182"/>
      <c r="B25" s="183"/>
      <c r="C25" s="183"/>
      <c r="D25" s="183"/>
      <c r="E25" s="183"/>
      <c r="F25" s="207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</row>
    <row r="26" spans="1:20" ht="45" x14ac:dyDescent="0.15">
      <c r="A26" s="184"/>
      <c r="B26" s="187"/>
      <c r="C26" s="209"/>
      <c r="D26" s="65"/>
      <c r="E26" s="90"/>
      <c r="F26" s="65"/>
      <c r="G26" s="202"/>
      <c r="H26" s="184"/>
      <c r="I26" s="184">
        <f>G26*H26</f>
      </c>
      <c r="J26" s="190"/>
      <c r="K26" s="184"/>
      <c r="L26" s="184"/>
      <c r="M26" s="184">
        <f>K26*L26</f>
      </c>
      <c r="N26" s="190"/>
      <c r="O26" s="184"/>
      <c r="P26" s="184"/>
      <c r="Q26" s="184">
        <f>O26*P26</f>
      </c>
      <c r="R26" s="190"/>
      <c r="S26" s="184">
        <f>Q26-M26</f>
      </c>
      <c r="T26" s="90"/>
    </row>
    <row r="27" spans="1:20" ht="63" x14ac:dyDescent="0.15">
      <c r="A27" s="186"/>
      <c r="B27" s="200"/>
      <c r="C27" s="209"/>
      <c r="D27" s="65"/>
      <c r="E27" s="90"/>
      <c r="F27" s="65"/>
      <c r="G27" s="203"/>
      <c r="H27" s="186"/>
      <c r="I27" s="186"/>
      <c r="J27" s="201"/>
      <c r="K27" s="189"/>
      <c r="L27" s="189"/>
      <c r="M27" s="189"/>
      <c r="N27" s="189"/>
      <c r="O27" s="186"/>
      <c r="P27" s="186"/>
      <c r="Q27" s="186"/>
      <c r="R27" s="201"/>
      <c r="S27" s="189"/>
      <c r="T27" s="90"/>
    </row>
    <row r="28" spans="1:20" x14ac:dyDescent="0.15">
      <c r="A28" s="197"/>
      <c r="B28" s="198"/>
      <c r="C28" s="198"/>
      <c r="D28" s="198"/>
      <c r="E28" s="198"/>
      <c r="F28" s="206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9"/>
    </row>
    <row r="29" spans="1:20" ht="108" x14ac:dyDescent="0.15">
      <c r="A29" s="184"/>
      <c r="B29" s="187"/>
      <c r="C29" s="88"/>
      <c r="D29" s="88"/>
      <c r="E29" s="208"/>
      <c r="F29" s="65"/>
      <c r="G29" s="193"/>
      <c r="H29" s="190"/>
      <c r="I29" s="190">
        <f t="shared" ref="I29" si="6">G29*H29</f>
      </c>
      <c r="J29" s="190"/>
      <c r="K29" s="190"/>
      <c r="L29" s="190"/>
      <c r="M29" s="190">
        <f t="shared" ref="M29" si="7">K29*L29</f>
      </c>
      <c r="N29" s="190"/>
      <c r="O29" s="190"/>
      <c r="P29" s="190"/>
      <c r="Q29" s="190">
        <f t="shared" ref="Q29" si="8">O29*P29</f>
      </c>
      <c r="R29" s="190"/>
      <c r="S29" s="184">
        <f>Q29-M29</f>
      </c>
      <c r="T29" s="65"/>
    </row>
    <row r="30" spans="1:20" ht="135" x14ac:dyDescent="0.15">
      <c r="A30" s="186"/>
      <c r="B30" s="189"/>
      <c r="C30" s="88"/>
      <c r="D30" s="65"/>
      <c r="E30" s="208"/>
      <c r="F30" s="65"/>
      <c r="G30" s="195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90"/>
    </row>
    <row r="31" spans="1:20" x14ac:dyDescent="0.15">
      <c r="A31" s="217"/>
      <c r="B31" s="218"/>
      <c r="C31" s="218"/>
      <c r="D31" s="218"/>
      <c r="E31" s="218"/>
      <c r="F31" s="219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20"/>
    </row>
    <row r="32" spans="1:20" ht="63" x14ac:dyDescent="0.15">
      <c r="A32" s="184"/>
      <c r="B32" s="187"/>
      <c r="C32" s="210"/>
      <c r="D32" s="92"/>
      <c r="E32" s="90"/>
      <c r="F32" s="65"/>
      <c r="G32" s="190"/>
      <c r="H32" s="190"/>
      <c r="I32" s="190">
        <f>G32*H32</f>
      </c>
      <c r="J32" s="190"/>
      <c r="K32" s="190"/>
      <c r="L32" s="190"/>
      <c r="M32" s="190">
        <f>K32*L32</f>
      </c>
      <c r="N32" s="190"/>
      <c r="O32" s="190"/>
      <c r="P32" s="190"/>
      <c r="Q32" s="190">
        <f>O32*P32</f>
      </c>
      <c r="R32" s="190"/>
      <c r="S32" s="184">
        <f>Q32-M32</f>
      </c>
      <c r="T32" s="192"/>
    </row>
    <row r="33" spans="1:20" ht="18" x14ac:dyDescent="0.15">
      <c r="A33" s="185"/>
      <c r="B33" s="188"/>
      <c r="C33" s="209"/>
      <c r="D33" s="92"/>
      <c r="E33" s="90"/>
      <c r="F33" s="65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</row>
    <row r="34" spans="1:20" ht="63" x14ac:dyDescent="0.15">
      <c r="A34" s="186"/>
      <c r="B34" s="189"/>
      <c r="C34" s="209"/>
      <c r="D34" s="209"/>
      <c r="E34" s="90"/>
      <c r="F34" s="65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</row>
    <row r="35" spans="1:20" x14ac:dyDescent="0.15">
      <c r="A35" s="213"/>
      <c r="B35" s="214"/>
      <c r="C35" s="214"/>
      <c r="D35" s="214"/>
      <c r="E35" s="214"/>
      <c r="F35" s="215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6"/>
    </row>
    <row r="36" spans="1:20" ht="45" x14ac:dyDescent="0.15">
      <c r="A36" s="91"/>
      <c r="B36" s="88"/>
      <c r="C36" s="209"/>
      <c r="D36" s="65"/>
      <c r="E36" s="196"/>
      <c r="F36" s="65"/>
      <c r="G36" s="87"/>
      <c r="H36" s="87"/>
      <c r="I36" s="87">
        <f>G36*H36</f>
      </c>
      <c r="J36" s="87"/>
      <c r="K36" s="87"/>
      <c r="L36" s="87"/>
      <c r="M36" s="87">
        <f>K36*L36</f>
      </c>
      <c r="N36" s="87"/>
      <c r="O36" s="87"/>
      <c r="P36" s="87"/>
      <c r="Q36" s="87">
        <f>O36*P36</f>
      </c>
      <c r="R36" s="87"/>
      <c r="S36" s="184">
        <f>Q36-M36</f>
      </c>
      <c r="T36" s="90"/>
    </row>
    <row r="37" spans="1:20" x14ac:dyDescent="0.15">
      <c r="A37" s="197"/>
      <c r="B37" s="198"/>
      <c r="C37" s="198"/>
      <c r="D37" s="198"/>
      <c r="E37" s="198"/>
      <c r="F37" s="206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9"/>
    </row>
    <row r="38" spans="1:20" ht="54" x14ac:dyDescent="0.15">
      <c r="A38" s="184"/>
      <c r="B38" s="187"/>
      <c r="C38" s="210"/>
      <c r="D38" s="92"/>
      <c r="E38" s="90"/>
      <c r="F38" s="65"/>
      <c r="G38" s="202"/>
      <c r="H38" s="184"/>
      <c r="I38" s="184">
        <f>G38*H38</f>
      </c>
      <c r="J38" s="190"/>
      <c r="K38" s="184"/>
      <c r="L38" s="184"/>
      <c r="M38" s="184">
        <f>K38*L38</f>
      </c>
      <c r="N38" s="190"/>
      <c r="O38" s="184"/>
      <c r="P38" s="184"/>
      <c r="Q38" s="184">
        <f>O38*P38</f>
      </c>
      <c r="R38" s="190"/>
      <c r="S38" s="184">
        <f>Q38-M38</f>
      </c>
      <c r="T38" s="90"/>
    </row>
    <row r="39" spans="1:20" ht="45" x14ac:dyDescent="0.15">
      <c r="A39" s="185"/>
      <c r="B39" s="188"/>
      <c r="C39" s="209"/>
      <c r="D39" s="65"/>
      <c r="E39" s="90"/>
      <c r="F39" s="65"/>
      <c r="G39" s="194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90"/>
    </row>
    <row r="40" spans="1:20" ht="279" x14ac:dyDescent="0.15">
      <c r="A40" s="186"/>
      <c r="B40" s="189"/>
      <c r="C40" s="65"/>
      <c r="D40" s="65"/>
      <c r="E40" s="204"/>
      <c r="F40" s="65"/>
      <c r="G40" s="195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65"/>
    </row>
    <row r="41" spans="1:20" x14ac:dyDescent="0.15">
      <c r="A41" s="197"/>
      <c r="B41" s="198"/>
      <c r="C41" s="198"/>
      <c r="D41" s="198"/>
      <c r="E41" s="198"/>
      <c r="F41" s="206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9"/>
    </row>
    <row r="42" spans="1:20" ht="81" x14ac:dyDescent="0.15">
      <c r="A42" s="91"/>
      <c r="B42" s="88"/>
      <c r="C42" s="210"/>
      <c r="D42" s="210"/>
      <c r="E42" s="196"/>
      <c r="F42" s="65"/>
      <c r="G42" s="91"/>
      <c r="H42" s="91"/>
      <c r="I42" s="91">
        <f>G42*H42</f>
      </c>
      <c r="J42" s="87"/>
      <c r="K42" s="91"/>
      <c r="L42" s="91"/>
      <c r="M42" s="91">
        <f>K42*L42</f>
      </c>
      <c r="N42" s="87"/>
      <c r="O42" s="91"/>
      <c r="P42" s="91"/>
      <c r="Q42" s="91">
        <f>O42*P42</f>
      </c>
      <c r="R42" s="87"/>
      <c r="S42" s="184">
        <f>Q42-M42</f>
      </c>
      <c r="T42" s="90"/>
    </row>
    <row r="43" spans="1:20" x14ac:dyDescent="0.15">
      <c r="A43" s="197"/>
      <c r="B43" s="198"/>
      <c r="C43" s="198"/>
      <c r="D43" s="198"/>
      <c r="E43" s="198"/>
      <c r="F43" s="206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9"/>
    </row>
    <row r="44" spans="1:20" ht="63" x14ac:dyDescent="0.15">
      <c r="A44" s="184"/>
      <c r="B44" s="187"/>
      <c r="C44" s="209"/>
      <c r="D44" s="209"/>
      <c r="E44" s="212"/>
      <c r="F44" s="65"/>
      <c r="G44" s="193"/>
      <c r="H44" s="190"/>
      <c r="I44" s="190">
        <f t="shared" ref="I44" si="9">G44*H44</f>
      </c>
      <c r="J44" s="190"/>
      <c r="K44" s="190"/>
      <c r="L44" s="190"/>
      <c r="M44" s="190">
        <f t="shared" ref="M44" si="10">K44*L44</f>
      </c>
      <c r="N44" s="190"/>
      <c r="O44" s="190"/>
      <c r="P44" s="190"/>
      <c r="Q44" s="190">
        <f t="shared" ref="Q44" si="11">O44*P44</f>
      </c>
      <c r="R44" s="190"/>
      <c r="S44" s="184">
        <f>Q44-M44</f>
      </c>
      <c r="T44" s="90"/>
    </row>
    <row r="45" spans="1:20" ht="279" x14ac:dyDescent="0.15">
      <c r="A45" s="186"/>
      <c r="B45" s="189"/>
      <c r="C45" s="65"/>
      <c r="D45" s="65"/>
      <c r="E45" s="204"/>
      <c r="F45" s="65"/>
      <c r="G45" s="195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90"/>
    </row>
    <row r="46" spans="1:20" x14ac:dyDescent="0.15">
      <c r="A46" s="197"/>
      <c r="B46" s="198"/>
      <c r="C46" s="198"/>
      <c r="D46" s="198"/>
      <c r="E46" s="198"/>
      <c r="F46" s="206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9"/>
    </row>
    <row r="47" spans="1:20" ht="99" x14ac:dyDescent="0.15">
      <c r="A47" s="91"/>
      <c r="B47" s="88"/>
      <c r="C47" s="210"/>
      <c r="D47" s="210"/>
      <c r="E47" s="196"/>
      <c r="F47" s="65"/>
      <c r="G47" s="87"/>
      <c r="H47" s="87"/>
      <c r="I47" s="87">
        <f>G47*H47</f>
      </c>
      <c r="J47" s="87"/>
      <c r="K47" s="91"/>
      <c r="L47" s="91"/>
      <c r="M47" s="87">
        <f>K47*L47</f>
      </c>
      <c r="N47" s="87"/>
      <c r="O47" s="91"/>
      <c r="P47" s="91"/>
      <c r="Q47" s="87">
        <f>O47*P47</f>
      </c>
      <c r="R47" s="87"/>
      <c r="S47" s="184">
        <f>Q47-M47</f>
      </c>
      <c r="T47" s="90"/>
    </row>
    <row r="48" spans="1:20" x14ac:dyDescent="0.15">
      <c r="A48" s="197"/>
      <c r="B48" s="198"/>
      <c r="C48" s="198"/>
      <c r="D48" s="198"/>
      <c r="E48" s="198"/>
      <c r="F48" s="206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9"/>
    </row>
    <row r="49" spans="1:20" ht="72" x14ac:dyDescent="0.15">
      <c r="A49" s="91"/>
      <c r="B49" s="88"/>
      <c r="C49" s="91"/>
      <c r="D49" s="90"/>
      <c r="E49" s="90"/>
      <c r="F49" s="65"/>
      <c r="G49" s="87"/>
      <c r="H49" s="87"/>
      <c r="I49" s="87">
        <f>G49*H49</f>
      </c>
      <c r="J49" s="87"/>
      <c r="K49" s="87"/>
      <c r="L49" s="87"/>
      <c r="M49" s="87">
        <f>K49*L49</f>
      </c>
      <c r="N49" s="87"/>
      <c r="O49" s="91"/>
      <c r="P49" s="91"/>
      <c r="Q49" s="87">
        <f>O49*P49</f>
      </c>
      <c r="R49" s="87"/>
      <c r="S49" s="184">
        <f>Q49-M49</f>
      </c>
      <c r="T49" s="90"/>
    </row>
    <row r="50" spans="1:20" x14ac:dyDescent="0.15">
      <c r="A50" s="197"/>
      <c r="B50" s="198"/>
      <c r="C50" s="198"/>
      <c r="D50" s="198"/>
      <c r="E50" s="198"/>
      <c r="F50" s="206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9"/>
    </row>
  </sheetData>
  <mergeCells count="15">
    <mergeCell ref="C2:G2"/>
    <mergeCell ref="A4:B4"/>
    <mergeCell ref="A5:B5"/>
    <mergeCell ref="A6:B6"/>
    <mergeCell ref="A7:A8"/>
    <mergeCell ref="B7:B8"/>
    <mergeCell ref="C7:C8"/>
    <mergeCell ref="D7:D8"/>
    <mergeCell ref="E7:E8"/>
    <mergeCell ref="F7:F8"/>
    <mergeCell ref="G7:J7"/>
    <mergeCell ref="K7:N7"/>
    <mergeCell ref="O7:R7"/>
    <mergeCell ref="S7:S8"/>
    <mergeCell ref="T7:T8"/>
  </mergeCells>
  <pageMargins left="0.39370078740157483" right="0.39370078740157483" top="1.1811023622047245" bottom="0.39370078740157483" header="0.31496062992125984" footer="0.31496062992125984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4761-6D8E-4BC3-A0F2-078F19476540}">
  <dimension ref="A4:Q14"/>
  <sheetViews>
    <sheetView zoomScale="130" zoomScaleNormal="130" workbookViewId="0">
      <selection activeCell="K7" sqref="K7"/>
    </sheetView>
  </sheetViews>
  <sheetFormatPr defaultRowHeight="15" x14ac:dyDescent="0.25"/>
  <cols>
    <col min="1" max="1" width="3.42578125" customWidth="1"/>
    <col min="4" max="4" width="6.7109375" customWidth="1"/>
    <col min="5" max="5" width="7.7109375" customWidth="1"/>
    <col min="7" max="7" width="9.140625" customWidth="1"/>
    <col min="11" max="11" width="8.140625" customWidth="1"/>
    <col min="12" max="12" width="9.140625" customWidth="1"/>
    <col min="13" max="13" width="7.5703125" customWidth="1"/>
    <col min="14" max="14" width="7.7109375" customWidth="1"/>
  </cols>
  <sheetData>
    <row r="4" spans="1:17" x14ac:dyDescent="0.25">
      <c r="A4" s="277" t="s">
        <v>27</v>
      </c>
      <c r="B4" s="278" t="s">
        <v>147</v>
      </c>
      <c r="C4" s="277" t="s">
        <v>29</v>
      </c>
      <c r="D4" s="277" t="s">
        <v>146</v>
      </c>
      <c r="E4" s="277" t="s">
        <v>76</v>
      </c>
      <c r="F4" s="277" t="s">
        <v>134</v>
      </c>
      <c r="G4" s="277" t="s">
        <v>93</v>
      </c>
      <c r="H4" s="277"/>
      <c r="I4" s="277"/>
      <c r="J4" s="277"/>
      <c r="K4" s="277" t="s">
        <v>78</v>
      </c>
      <c r="L4" s="277" t="s">
        <v>94</v>
      </c>
      <c r="M4" s="277"/>
      <c r="N4" s="277"/>
      <c r="O4" s="277"/>
      <c r="P4" s="277" t="s">
        <v>79</v>
      </c>
      <c r="Q4" s="277" t="s">
        <v>80</v>
      </c>
    </row>
    <row r="5" spans="1:17" ht="21" customHeight="1" x14ac:dyDescent="0.25">
      <c r="A5" s="277"/>
      <c r="B5" s="279"/>
      <c r="C5" s="277"/>
      <c r="D5" s="277"/>
      <c r="E5" s="277"/>
      <c r="F5" s="277"/>
      <c r="G5" s="62" t="s">
        <v>96</v>
      </c>
      <c r="H5" s="62" t="s">
        <v>76</v>
      </c>
      <c r="I5" s="62" t="s">
        <v>103</v>
      </c>
      <c r="J5" s="62" t="s">
        <v>31</v>
      </c>
      <c r="K5" s="277"/>
      <c r="L5" s="62" t="s">
        <v>96</v>
      </c>
      <c r="M5" s="62" t="s">
        <v>76</v>
      </c>
      <c r="N5" s="62" t="s">
        <v>103</v>
      </c>
      <c r="O5" s="62" t="s">
        <v>31</v>
      </c>
      <c r="P5" s="277"/>
      <c r="Q5" s="277"/>
    </row>
    <row r="6" spans="1:17" x14ac:dyDescent="0.25">
      <c r="A6" s="63" t="s">
        <v>81</v>
      </c>
      <c r="B6" s="63" t="s">
        <v>82</v>
      </c>
      <c r="C6" s="63" t="s">
        <v>83</v>
      </c>
      <c r="D6" s="63" t="s">
        <v>84</v>
      </c>
      <c r="E6" s="63" t="s">
        <v>85</v>
      </c>
      <c r="F6" s="63" t="s">
        <v>86</v>
      </c>
      <c r="G6" s="63" t="s">
        <v>87</v>
      </c>
      <c r="H6" s="63" t="s">
        <v>88</v>
      </c>
      <c r="I6" s="63" t="s">
        <v>89</v>
      </c>
      <c r="J6" s="63" t="s">
        <v>90</v>
      </c>
      <c r="K6" s="63" t="s">
        <v>91</v>
      </c>
      <c r="L6" s="63" t="s">
        <v>92</v>
      </c>
      <c r="M6" s="63" t="s">
        <v>102</v>
      </c>
      <c r="N6" s="63" t="s">
        <v>142</v>
      </c>
      <c r="O6" s="63" t="s">
        <v>143</v>
      </c>
      <c r="P6" s="63" t="s">
        <v>144</v>
      </c>
      <c r="Q6" s="63" t="s">
        <v>145</v>
      </c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65" t="str">
        <f>IF(I7&gt;=17,"Sangat Tinggi",IF(I7&gt;=10,"Tinggi",IF(I7&gt;=5,"Sedang",IF(I7&gt;=3,"Rendah","Sangat Rendah"))))</f>
      </c>
      <c r="K7" s="2"/>
      <c r="L7" s="2"/>
      <c r="M7" s="2"/>
      <c r="N7" s="2"/>
      <c r="O7" s="65" t="str">
        <f>IF(N7&gt;=17,"Sangat Tinggi",IF(N7&gt;=10,"Tinggi",IF(N7&gt;=5,"Sedang",IF(N7&gt;=3,"Rendah","Sangat Rendah"))))</f>
      </c>
      <c r="P7" s="2"/>
      <c r="Q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</sheetData>
  <mergeCells count="11">
    <mergeCell ref="K4:K5"/>
    <mergeCell ref="L4:O4"/>
    <mergeCell ref="P4:P5"/>
    <mergeCell ref="Q4:Q5"/>
    <mergeCell ref="A4:A5"/>
    <mergeCell ref="C4:C5"/>
    <mergeCell ref="D4:D5"/>
    <mergeCell ref="E4:E5"/>
    <mergeCell ref="F4:F5"/>
    <mergeCell ref="G4:J4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NEW Peta Risiko</vt:lpstr>
      <vt:lpstr>Kriteria Kemungkinan</vt:lpstr>
      <vt:lpstr>NEW Kriteria Dampak</vt:lpstr>
      <vt:lpstr>Identifikasi Risiko</vt:lpstr>
      <vt:lpstr>Analisis &amp; Evaluasi Risiko</vt:lpstr>
      <vt:lpstr>Perlakuan Risiko</vt:lpstr>
      <vt:lpstr>Pemantauan TW1</vt:lpstr>
      <vt:lpstr>Pemantauan TW2</vt:lpstr>
      <vt:lpstr>Pemantauan TW 3</vt:lpstr>
      <vt:lpstr>Pelaporan Insidental</vt:lpstr>
      <vt:lpstr>'Pemantauan TW 3'!Print_Area</vt:lpstr>
      <vt:lpstr>'Pemantauan TW1'!Print_Area</vt:lpstr>
      <vt:lpstr>'Pemantauan TW2'!Print_Area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 Purnama</dc:creator>
  <cp:lastModifiedBy>HP</cp:lastModifiedBy>
  <cp:lastPrinted>2026-01-08T02:19:54Z</cp:lastPrinted>
  <dcterms:created xsi:type="dcterms:W3CDTF">2023-08-04T02:39:17Z</dcterms:created>
  <dcterms:modified xsi:type="dcterms:W3CDTF">2026-09-28T09:54:29Z</dcterms:modified>
</cp:coreProperties>
</file>